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 activeTab="3"/>
  </bookViews>
  <sheets>
    <sheet name="生産 (移行先)" sheetId="5" r:id="rId1"/>
    <sheet name="生産" sheetId="1" r:id="rId2"/>
    <sheet name="設備 (移行先)" sheetId="6" r:id="rId3"/>
    <sheet name="設備" sheetId="3" r:id="rId4"/>
    <sheet name="テーブル一覧" sheetId="2" state="hidden" r:id="rId5"/>
    <sheet name="旧テーブル一覧" sheetId="4" state="hidden" r:id="rId6"/>
    <sheet name="Template" sheetId="7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2" i="6"/>
  <c r="E3" i="5"/>
  <c r="E4" i="5"/>
  <c r="E5" i="5"/>
  <c r="E6" i="5"/>
  <c r="E7" i="5"/>
  <c r="E8" i="5"/>
  <c r="E9" i="5"/>
  <c r="E10" i="5"/>
  <c r="E11" i="5"/>
  <c r="E2" i="5"/>
  <c r="C251" i="6" l="1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6" i="6"/>
  <c r="A6" i="6"/>
  <c r="C5" i="6"/>
  <c r="A5" i="6"/>
  <c r="C4" i="6"/>
  <c r="A4" i="6"/>
  <c r="C3" i="6"/>
  <c r="A3" i="6"/>
  <c r="C2" i="6"/>
  <c r="A2" i="6"/>
  <c r="A3" i="5"/>
  <c r="C3" i="5"/>
  <c r="A4" i="5"/>
  <c r="C4" i="5"/>
  <c r="A5" i="5"/>
  <c r="C5" i="5"/>
  <c r="A6" i="5"/>
  <c r="C6" i="5"/>
  <c r="A7" i="5"/>
  <c r="C7" i="5"/>
  <c r="A8" i="5"/>
  <c r="C8" i="5"/>
  <c r="A9" i="5"/>
  <c r="C9" i="5"/>
  <c r="A10" i="5"/>
  <c r="C10" i="5"/>
  <c r="A11" i="5"/>
  <c r="C11" i="5"/>
  <c r="C2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A2" i="5"/>
  <c r="A59" i="1" l="1"/>
  <c r="C59" i="1"/>
  <c r="E59" i="1" s="1"/>
  <c r="A60" i="1"/>
  <c r="C60" i="1"/>
  <c r="E60" i="1" s="1"/>
  <c r="A61" i="1"/>
  <c r="C61" i="1"/>
  <c r="E61" i="1" s="1"/>
  <c r="A62" i="1"/>
  <c r="C62" i="1"/>
  <c r="E62" i="1" s="1"/>
  <c r="A63" i="1"/>
  <c r="C63" i="1"/>
  <c r="E63" i="1" s="1"/>
  <c r="A64" i="1"/>
  <c r="C64" i="1"/>
  <c r="E64" i="1" s="1"/>
  <c r="A65" i="1"/>
  <c r="C65" i="1"/>
  <c r="E65" i="1" s="1"/>
  <c r="A33" i="1"/>
  <c r="C33" i="1"/>
  <c r="E33" i="1" s="1"/>
  <c r="A34" i="1"/>
  <c r="C34" i="1"/>
  <c r="E34" i="1" s="1"/>
  <c r="A35" i="1"/>
  <c r="C35" i="1"/>
  <c r="E35" i="1" s="1"/>
  <c r="A36" i="1"/>
  <c r="C36" i="1"/>
  <c r="E36" i="1" s="1"/>
  <c r="A37" i="1"/>
  <c r="C37" i="1"/>
  <c r="E37" i="1" s="1"/>
  <c r="A38" i="1"/>
  <c r="C38" i="1"/>
  <c r="E38" i="1" s="1"/>
  <c r="A39" i="1"/>
  <c r="C39" i="1"/>
  <c r="E39" i="1" s="1"/>
  <c r="A40" i="1"/>
  <c r="C40" i="1"/>
  <c r="E40" i="1" s="1"/>
  <c r="A41" i="1"/>
  <c r="C41" i="1"/>
  <c r="E41" i="1" s="1"/>
  <c r="A42" i="1"/>
  <c r="C42" i="1"/>
  <c r="E42" i="1" s="1"/>
  <c r="A43" i="1"/>
  <c r="C43" i="1"/>
  <c r="E43" i="1" s="1"/>
  <c r="A44" i="1"/>
  <c r="C44" i="1"/>
  <c r="E44" i="1" s="1"/>
  <c r="A45" i="1"/>
  <c r="C45" i="1"/>
  <c r="E45" i="1" s="1"/>
  <c r="A46" i="1"/>
  <c r="C46" i="1"/>
  <c r="E46" i="1" s="1"/>
  <c r="A47" i="1"/>
  <c r="C47" i="1"/>
  <c r="E47" i="1" s="1"/>
  <c r="A48" i="1"/>
  <c r="C48" i="1"/>
  <c r="E48" i="1" s="1"/>
  <c r="A49" i="1"/>
  <c r="C49" i="1"/>
  <c r="E49" i="1" s="1"/>
  <c r="A50" i="1"/>
  <c r="C50" i="1"/>
  <c r="E50" i="1" s="1"/>
  <c r="A51" i="1"/>
  <c r="C51" i="1"/>
  <c r="E51" i="1" s="1"/>
  <c r="A52" i="1"/>
  <c r="C52" i="1"/>
  <c r="E52" i="1" s="1"/>
  <c r="A53" i="1"/>
  <c r="C53" i="1"/>
  <c r="E53" i="1" s="1"/>
  <c r="A54" i="1"/>
  <c r="C54" i="1"/>
  <c r="E54" i="1" s="1"/>
  <c r="A55" i="1"/>
  <c r="C55" i="1"/>
  <c r="E55" i="1" s="1"/>
  <c r="A56" i="1"/>
  <c r="C56" i="1"/>
  <c r="E56" i="1" s="1"/>
  <c r="A57" i="1"/>
  <c r="C57" i="1"/>
  <c r="E57" i="1" s="1"/>
  <c r="A58" i="1"/>
  <c r="C58" i="1"/>
  <c r="E58" i="1" s="1"/>
  <c r="C71" i="1"/>
  <c r="C32" i="1"/>
  <c r="E32" i="1" s="1"/>
  <c r="A32" i="1"/>
  <c r="C31" i="1"/>
  <c r="E31" i="1" s="1"/>
  <c r="A31" i="1"/>
  <c r="C30" i="1"/>
  <c r="E30" i="1" s="1"/>
  <c r="A30" i="1"/>
  <c r="C29" i="1"/>
  <c r="E29" i="1" s="1"/>
  <c r="A29" i="1"/>
  <c r="C28" i="1"/>
  <c r="E28" i="1" s="1"/>
  <c r="A28" i="1"/>
  <c r="C26" i="1"/>
  <c r="E26" i="1" s="1"/>
  <c r="A26" i="1"/>
  <c r="C25" i="1"/>
  <c r="E25" i="1" s="1"/>
  <c r="A25" i="1"/>
  <c r="C24" i="1"/>
  <c r="E24" i="1" s="1"/>
  <c r="A24" i="1"/>
  <c r="C23" i="1"/>
  <c r="E23" i="1" s="1"/>
  <c r="A23" i="1"/>
  <c r="C21" i="1"/>
  <c r="E21" i="1" s="1"/>
  <c r="A21" i="1"/>
  <c r="C19" i="1"/>
  <c r="E19" i="1" s="1"/>
  <c r="A19" i="1"/>
  <c r="C18" i="1"/>
  <c r="E18" i="1" s="1"/>
  <c r="A18" i="1"/>
  <c r="C16" i="1"/>
  <c r="E16" i="1" s="1"/>
  <c r="A16" i="1"/>
  <c r="C15" i="1"/>
  <c r="E15" i="1" s="1"/>
  <c r="A15" i="1"/>
  <c r="C14" i="1"/>
  <c r="E14" i="1" s="1"/>
  <c r="A14" i="1"/>
  <c r="C13" i="1"/>
  <c r="E13" i="1" s="1"/>
  <c r="A13" i="1"/>
  <c r="C12" i="1"/>
  <c r="E12" i="1" s="1"/>
  <c r="A12" i="1"/>
  <c r="C10" i="1"/>
  <c r="E10" i="1" s="1"/>
  <c r="A10" i="1"/>
  <c r="C9" i="1"/>
  <c r="E9" i="1" s="1"/>
  <c r="A9" i="1"/>
  <c r="C7" i="1"/>
  <c r="E7" i="1" s="1"/>
  <c r="A7" i="1"/>
  <c r="C6" i="1"/>
  <c r="E6" i="1" s="1"/>
  <c r="A6" i="1"/>
  <c r="C4" i="1"/>
  <c r="E4" i="1" s="1"/>
  <c r="A4" i="1"/>
  <c r="A3" i="1"/>
  <c r="A5" i="1"/>
  <c r="A8" i="1"/>
  <c r="A11" i="1"/>
  <c r="A17" i="1"/>
  <c r="A20" i="1"/>
  <c r="A22" i="1"/>
  <c r="A27" i="1"/>
  <c r="A66" i="1"/>
  <c r="A67" i="1"/>
  <c r="A68" i="1"/>
  <c r="A69" i="1"/>
  <c r="A70" i="1"/>
  <c r="A71" i="1"/>
  <c r="A72" i="1"/>
  <c r="A73" i="1"/>
  <c r="A74" i="1"/>
  <c r="A2" i="1"/>
  <c r="C5" i="1"/>
  <c r="E5" i="1" s="1"/>
  <c r="A7" i="3" l="1"/>
  <c r="A8" i="3"/>
  <c r="A9" i="3"/>
  <c r="A2" i="3"/>
  <c r="A3" i="3"/>
  <c r="A4" i="3"/>
  <c r="A5" i="3"/>
  <c r="A6" i="3"/>
  <c r="C9" i="3"/>
  <c r="E9" i="3" s="1"/>
  <c r="C8" i="3"/>
  <c r="E8" i="3" s="1"/>
  <c r="C7" i="3"/>
  <c r="E7" i="3" s="1"/>
  <c r="C6" i="3"/>
  <c r="E6" i="3" s="1"/>
  <c r="C5" i="3"/>
  <c r="E5" i="3" s="1"/>
  <c r="C4" i="3"/>
  <c r="E4" i="3" s="1"/>
  <c r="C3" i="3"/>
  <c r="E3" i="3" s="1"/>
  <c r="C2" i="3"/>
  <c r="E2" i="3" s="1"/>
  <c r="C3" i="1"/>
  <c r="E3" i="1" s="1"/>
  <c r="C8" i="1"/>
  <c r="E8" i="1" s="1"/>
  <c r="C11" i="1"/>
  <c r="E11" i="1" s="1"/>
  <c r="C17" i="1"/>
  <c r="E17" i="1" s="1"/>
  <c r="C20" i="1"/>
  <c r="E20" i="1" s="1"/>
  <c r="C22" i="1"/>
  <c r="E22" i="1" s="1"/>
  <c r="C27" i="1"/>
  <c r="E27" i="1" s="1"/>
  <c r="C66" i="1"/>
  <c r="E66" i="1" s="1"/>
  <c r="C67" i="1"/>
  <c r="E67" i="1" s="1"/>
  <c r="C68" i="1"/>
  <c r="E68" i="1" s="1"/>
  <c r="C69" i="1"/>
  <c r="E69" i="1" s="1"/>
  <c r="C70" i="1"/>
  <c r="E70" i="1" s="1"/>
  <c r="E71" i="1"/>
  <c r="C72" i="1"/>
  <c r="E72" i="1" s="1"/>
  <c r="C73" i="1"/>
  <c r="E73" i="1" s="1"/>
  <c r="C74" i="1"/>
  <c r="E74" i="1" s="1"/>
  <c r="C2" i="1"/>
  <c r="E2" i="1" s="1"/>
</calcChain>
</file>

<file path=xl/sharedStrings.xml><?xml version="1.0" encoding="utf-8"?>
<sst xmlns="http://schemas.openxmlformats.org/spreadsheetml/2006/main" count="871" uniqueCount="719">
  <si>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</si>
  <si>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</si>
  <si>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</si>
  <si>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</si>
  <si>
    <t>カテゴリ</t>
    <phoneticPr fontId="1"/>
  </si>
  <si>
    <t>No</t>
    <phoneticPr fontId="1"/>
  </si>
  <si>
    <t>生産計画－工程－構成－計画値</t>
  </si>
  <si>
    <t>PRODUCTION_DETAIL_PROCESS_LOT</t>
  </si>
  <si>
    <t>PRODUCTION_DETAIL_PROCESS_WORK_ATTACHED_FILE</t>
  </si>
  <si>
    <t>PRODUCTION_DETAIL_PROCESS_INSPECTION</t>
  </si>
  <si>
    <t>PRODUCTION_DETAIL_PROCESS_INSPECTION_CONDITION</t>
  </si>
  <si>
    <t>PRODUCTION_DETAIL_PROCESS_INSPECTION_ATTACHED_FILE</t>
  </si>
  <si>
    <t>PRODUCTION_DETAIL_PROCESS_MEASUREMENT</t>
  </si>
  <si>
    <t>PRODUCTION_DETAIL_PROCESS_MEASUREMENT_CONDITION</t>
  </si>
  <si>
    <t>PRODUCTION_DETAIL_PROCESS_MEASUREMENT_ATTACHED_FILE</t>
  </si>
  <si>
    <t>OPERATION_PLAN</t>
  </si>
  <si>
    <t>OPERATION_PLAN_WORKING_DAY</t>
  </si>
  <si>
    <t>OPERATION_PLAN_OPERATE</t>
  </si>
  <si>
    <t>OPERATION_PLAN_OPERATE_ATTACHEDINFO</t>
  </si>
  <si>
    <t>OPERATION_PLAN_PRODUCT</t>
  </si>
  <si>
    <t>OPERATION_PLAN_BASIC_PARAMETER</t>
  </si>
  <si>
    <t>OPERATION_PLAN_BASIC_CYCLE_TIME</t>
  </si>
  <si>
    <t>OPERATION_PLAN_CAPACITY_ITEM</t>
  </si>
  <si>
    <t>OPERATION_PLAN_INSPECTION_ITEM</t>
  </si>
  <si>
    <t>OPERATION_PLAN_REPLACEMENT_ITEM</t>
  </si>
  <si>
    <t>OPERATION_RESULT_PRODUCT</t>
  </si>
  <si>
    <t>OPERATION_RESULT_CYCLE_TIME</t>
  </si>
  <si>
    <t>OPERATION_DETAIL_BASIC_PARAMETER</t>
  </si>
  <si>
    <t>OPERATION_DETAIL_BASIC_HISTORY</t>
  </si>
  <si>
    <t>OPERATION_DETAIL_BASIC_CYCLE_TIME</t>
  </si>
  <si>
    <t>OPERATION_DETAIL_CAPACITY</t>
  </si>
  <si>
    <t>OPERATION_DETAIL_INSPECTION</t>
  </si>
  <si>
    <t>OPERATION_DETAIL_INSPECTION_ATTACHED_FILE</t>
  </si>
  <si>
    <t>OPERATION_DETAIL_REPLACEMENT</t>
  </si>
  <si>
    <t>OPERATION_DETAIL_REPLACEMENT_ATTACHED_FILE</t>
  </si>
  <si>
    <t>OPERATION_INSPECTION_PREPERFORMANCE_PLAN</t>
  </si>
  <si>
    <t>OPERATION_INSPECTION_PREPERFORMANCE_RESULT</t>
  </si>
  <si>
    <t>OPERATION_REPLACEMENT_PREPERFORMANCE_PLAN</t>
  </si>
  <si>
    <t>OPERATION_REPLACEMENT_PREPERFORMANCE_RESULT</t>
  </si>
  <si>
    <t>OPERATION_ANOMALY</t>
  </si>
  <si>
    <t>SOI_CATEGORY_QUALITY_ANOMALY</t>
  </si>
  <si>
    <t>SOI_LOCATION_PRODUCT</t>
  </si>
  <si>
    <t>SOI_PRODUCTION_TYPE_PRODUCTION_BASIC</t>
  </si>
  <si>
    <t>SOI_PRODUCTION_TYPE_SETUP</t>
  </si>
  <si>
    <t>SOI_PRODUCTION_TYPE_PROCESS_GROUP</t>
  </si>
  <si>
    <t>SOI_PROCESSGROUP_PROCESS</t>
  </si>
  <si>
    <t>SOI_PROCESS_BASIC</t>
  </si>
  <si>
    <t>【標準指示】工程－生産実績基本－生産パラメータ－標準値</t>
  </si>
  <si>
    <t>【標準指示】工程－生産実績基本－ロット管理－標準値</t>
  </si>
  <si>
    <t>SOI_PROCESS_COMPONENTS</t>
  </si>
  <si>
    <t>【標準指示】工程－生産実績構成－標準値</t>
  </si>
  <si>
    <t>SOI_PROCESS_WORK</t>
  </si>
  <si>
    <t>SOI_PROCESS_INSPECTION</t>
  </si>
  <si>
    <t>SOI_PROCESS_MEASUREMENT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</si>
  <si>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</si>
  <si>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</si>
  <si>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</si>
  <si>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</si>
  <si>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</si>
  <si>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SOI_OPERATE_PRODUCT</t>
  </si>
  <si>
    <t>SOI_OPERATE_PRODUCTION_BASIC</t>
  </si>
  <si>
    <t>SOI_OPERATE_PRODUCTION_PROCESS_PARAMETER</t>
  </si>
  <si>
    <t>SOI_OPERATE_PRODUCTION_PROCESS_HISTORY</t>
  </si>
  <si>
    <t>SOI_OPERATE_PRODUCTION_PROCESS_HISTORY_BREAKDOWN</t>
  </si>
  <si>
    <t>SOI_OPERATE_PRODUCTION_PROCESS_LOT</t>
  </si>
  <si>
    <t>SOI_OPERATE_PRODUCTION_PROCESS_COMPONENTS</t>
  </si>
  <si>
    <t>SOI_OPERATE_PRODUCTION_PROCESS_WORK</t>
  </si>
  <si>
    <t>SOI_OPERATE_PRODUCTION_PROCESS_INSPECTION</t>
  </si>
  <si>
    <t>SOI_OPERATE_PRODUCTION_PROCESS_INSPECTION_CONDITION</t>
  </si>
  <si>
    <t>SOI_OPERATE_PRODUCTION_PROCESS_MEASUREMENT</t>
  </si>
  <si>
    <t>SOI_OPERATE_PRODUCTION_PROCESS_MEASUREMENT_CONDITION</t>
  </si>
  <si>
    <t>SOI_PRODUCT_QUALITY_ANOMALY</t>
  </si>
  <si>
    <t>SOI_PRODUCT_PRODUCTION_ANOMALY</t>
  </si>
  <si>
    <t>SOI_PRODUCTION_TYPE_QUALITY_ANOMALY</t>
  </si>
  <si>
    <t>SOI_PRODUCTION_TYPE_PRODUCTION_ANOMALY</t>
  </si>
  <si>
    <t>SOI_OPERATE_OPERATION_ANOMALY_ITEM</t>
  </si>
  <si>
    <t>SOI_ANOMALY</t>
  </si>
  <si>
    <t>SOI_ANOMALY_TREAT_CATEGORY</t>
  </si>
  <si>
    <t>SOI_ANOMALY_OCCURRENCE_CAUSE_CATEGORY</t>
  </si>
  <si>
    <t>SOI_ANOMALY_OCCURRENCE_MEASURE_CATEGORY</t>
  </si>
  <si>
    <t>SOI_ANOMALY_SPILL_CAUSE_CATEGORY</t>
  </si>
  <si>
    <t>SOI_ANOMALY_SPILL_MEASURE_CATEGORY</t>
  </si>
  <si>
    <t>PRODUCT_MASTER</t>
  </si>
  <si>
    <t>PRODUCT＿MASTER_ATTACHEDINFO</t>
  </si>
  <si>
    <t>PRODUCTION_TYPE_MASTER</t>
  </si>
  <si>
    <t>PROCESS_GROUP_MASTER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</si>
  <si>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</si>
  <si>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</si>
  <si>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</si>
  <si>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</si>
  <si>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</si>
  <si>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</si>
  <si>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</si>
  <si>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PRODUCTION_WORK_MASTER</t>
  </si>
  <si>
    <t>PRODUCTION_WORK_MASTER_ITEM</t>
  </si>
  <si>
    <t>PRODUCTION_INSPECTION_MASTER</t>
  </si>
  <si>
    <t>PRODUCTION_INSPECTION_MASTER_ITEM</t>
  </si>
  <si>
    <t>PRODUCTION_INSPECTION_MASTER_CONDITION</t>
  </si>
  <si>
    <t>PRODUCTION_MEASUREMENT_MASTER</t>
  </si>
  <si>
    <t>PRODUCTION_MEASUREMENT_MASTER_ITEM</t>
  </si>
  <si>
    <t>PRODUCTION_MEASUREMENT_MASTER_CONDITION</t>
  </si>
  <si>
    <t>OPERATE_MASTER</t>
  </si>
  <si>
    <t>OPERATE_MASTER_ATTACHEDINFO</t>
  </si>
  <si>
    <t>OPERATION_BASIC_MASTER</t>
  </si>
  <si>
    <t>OPERATION_BASIC_MASTER_PARAMETER</t>
  </si>
  <si>
    <t>OPERATION_BASIC_MASTER_CYCLE_TIME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</si>
  <si>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</si>
  <si>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</si>
  <si>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</si>
  <si>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</si>
  <si>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</si>
  <si>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</si>
  <si>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ANOMALY_RANK_MASTER</t>
  </si>
  <si>
    <t>ANOMALY_RANK_MASTER_ITEM</t>
  </si>
  <si>
    <t>ANOMALY_RANK_ITEM_MASTER</t>
  </si>
  <si>
    <t>ANOMALY_LINEOUT_MASTER</t>
  </si>
  <si>
    <t>ANOMALY_LINEOUT_MASTER_ITEM</t>
  </si>
  <si>
    <t>ANOMALY_LINEOUT_ITEM_MASTER</t>
  </si>
  <si>
    <t>ANOMALY_SOMETHING_MASTER</t>
  </si>
  <si>
    <t>ANOMALY_SOMETHING_ITEM_MASTER</t>
  </si>
  <si>
    <t>ANOMALY_UNREPEAT_MASTER</t>
  </si>
  <si>
    <t>ANOMALY_UNREPEAT_MASTER_ITEM</t>
  </si>
  <si>
    <t>ANOMALY_UNREPEAT_ITEM_MASTER</t>
  </si>
  <si>
    <t>ANOMALY_DISCOVER_SECTION_MASTER</t>
  </si>
  <si>
    <t>ANOMALY_DISCOVER_SECTION_MASTER_ITEM</t>
  </si>
  <si>
    <t>ANOMALY_DISCOVER_SECTION_ITEM_MASTER</t>
  </si>
  <si>
    <t>ANOMALY_RESPONSIBLE_SECTION_MASTER</t>
  </si>
  <si>
    <t>ANOMALY_RESPONSIBLE_SECTION_MASTER_ITEM</t>
  </si>
  <si>
    <t>ANOMALY_RESPONSIBLE_SECTION_ITEM_MASTER</t>
  </si>
  <si>
    <t>ANOMALY_OCCURRENCE_SECTION_MASTER</t>
  </si>
  <si>
    <t>ANOMALY_OCCURRENCE_SECTION_MASTER_ITEM</t>
  </si>
  <si>
    <t>ANOMALY_OCCURRENCE_SECTION_ITEM_MASTER</t>
  </si>
  <si>
    <t>ANOMALY_CONFIRM_DECISION_MASTER</t>
  </si>
  <si>
    <t>ANOMALY_CONFIRM_DECISION_MASTER_ITEM</t>
  </si>
  <si>
    <t>ANOMALY_CONFIRM_DECISION_ITEM_MASTER</t>
  </si>
  <si>
    <t>ANOMALY_ANOMALY_MASTER</t>
  </si>
  <si>
    <t>ANOMALY_ANOMALY_MASTER_ITEM</t>
  </si>
  <si>
    <t>ANOMALY_CATEGORY_MASTER_ITEM</t>
  </si>
  <si>
    <t>ANOMALY_CATEGORY_ITEM_MASTER</t>
  </si>
  <si>
    <t>ANOMALY_PHENOMENON_MASTER</t>
  </si>
  <si>
    <t>ANOMALY_PHENOMENON_MASTER_ITEM</t>
  </si>
  <si>
    <t>ANOMALY_PHENOMENON_ITEM_MASTER</t>
  </si>
  <si>
    <t>ANOMALY_PART_MASTER</t>
  </si>
  <si>
    <t>ANOMALY_PART_MASTER_ITEM</t>
  </si>
  <si>
    <t>ANOMALY_PART_ITEM_MASTER</t>
  </si>
  <si>
    <t>ANOMALY_DETAIL_MASTER</t>
  </si>
  <si>
    <t>ANOMALY_DETAIL_MASTER_ITEM</t>
  </si>
  <si>
    <t>ANOMALY_DETAIL_ITEM_MASTER</t>
  </si>
  <si>
    <t>ANOMALY_TREAT_CATEGORY_MASTER</t>
  </si>
  <si>
    <t>ANOMALY_TREAT_CATEGORY_MASTER_ITEM</t>
  </si>
  <si>
    <t>ANOMALY_TREAT_CATEGORY_ITEM_MASTER</t>
  </si>
  <si>
    <t>ANOMALY_TREAT_WAY_MASTER</t>
  </si>
  <si>
    <t>ANOMALY_TREAT_WAY_MASTER_ITEM</t>
  </si>
  <si>
    <t>ANOMALY_TREAT_WAY_ITEM_MASTER</t>
  </si>
  <si>
    <t>ANOMALY_TREAT_CONTENT_MASTER_ITEM</t>
  </si>
  <si>
    <t>ANOMALY_TREAT_CONTENT_ITEM_MASTER</t>
  </si>
  <si>
    <t>ANOMALY_OCCURRENCE_CAUSE_CATEGORY_MASTER_ITEM</t>
  </si>
  <si>
    <t>ANOMALY_OCCURRENCE_CAUSE_CATEGORY_ITEM_MASTER</t>
  </si>
  <si>
    <t>ANOMALY_OCCURRENCE_CAUSE_CONTENT_MASTER</t>
  </si>
  <si>
    <t>ANOMALY_OCCURRENCE_CAUSE_CONTENT_MASTER_ITEM</t>
  </si>
  <si>
    <t>ANOMALY_OCCURRENCE_CAUSE_CONTENT_ITEM_MASTER</t>
  </si>
  <si>
    <t>ANOMALY_OCCURRENCE_MEASURE_CATEGORY_MASTER</t>
  </si>
  <si>
    <t>ANOMALY_OCCURRENCE_MEASURE_CATEGORY_MASTER_ITEM</t>
  </si>
  <si>
    <t>ANOMALY_OCCURRENCE_MEASURE_CATEGORY_ITEM_MASTER</t>
  </si>
  <si>
    <t>ANOMALY_OCCURRENCE_MEASURE_CONTENT_MASTER</t>
  </si>
  <si>
    <t>ANOMALY_OCCURRENCE_MEASURE_CONTENT_MASTER_ITEM</t>
  </si>
  <si>
    <t>ANOMALY_SPILL_CAUSE_CATEGORY_MASTER</t>
  </si>
  <si>
    <t>ANOMALY_SPILL_CAUSE_CATEGORY_MASTER_ITEM</t>
  </si>
  <si>
    <t>ANOMALY_SPILL_CAUSE_CATEGORY_ITEM_MASTER</t>
  </si>
  <si>
    <t>ANOMALY_SPILL_CAUSE_CONTENT_MASTER</t>
  </si>
  <si>
    <t>ANOMALY_SPILL_CAUSE_CONTENT_MASTER_ITEM</t>
  </si>
  <si>
    <t>ANOMALY_SPILL_CAUSE_CONTENT_ITEM_MASTER</t>
  </si>
  <si>
    <t>ANOMALY_SPILL_MEASURE_CATEGORY_MASTER_ITEM</t>
  </si>
  <si>
    <t>ANOMALY_SPILL_MEASURE_CATEGORY_ITEM_MASTER</t>
  </si>
  <si>
    <t>ANOMALY_SPILL_MEASURE_CONTENT_MASTER</t>
  </si>
  <si>
    <t>ANOMALY_SPILL_MEASURE_CONTENT_MASTER_ITEM</t>
  </si>
  <si>
    <t>ANOMALY_SPILL_MEASURE_CONTENT_ITEM_MASTER</t>
  </si>
  <si>
    <t>ANOMALY_CONFIRM_CONTENT_MASTER</t>
  </si>
  <si>
    <t>ANOMALY_CONFIRM_CONTENT_MASTER_ITEM</t>
  </si>
  <si>
    <t>ANOMALY_CONFIRM_CONTENT_ITEM_MASTER</t>
  </si>
  <si>
    <t>SCREEN_MASTER</t>
  </si>
  <si>
    <t>SCREEN_MASTER_TENANT</t>
  </si>
  <si>
    <t>SCREEN_MASTER_ENTERPRISE</t>
  </si>
  <si>
    <t>SCREEN_MASTER_CATEGORY</t>
  </si>
  <si>
    <t>SCREEN_MASTER_LOCATION</t>
  </si>
  <si>
    <t>CODE_MASTER</t>
  </si>
  <si>
    <t>事業</t>
  </si>
  <si>
    <t>拠点</t>
  </si>
  <si>
    <t>拠点選択</t>
  </si>
  <si>
    <t>品種選択</t>
  </si>
  <si>
    <t>生産種別選択</t>
  </si>
  <si>
    <t>生産計画</t>
  </si>
  <si>
    <t>生産計画－品種</t>
  </si>
  <si>
    <t>生産計画－品種－付属情報</t>
  </si>
  <si>
    <t>生産計画－生産種別</t>
  </si>
  <si>
    <t>生産計画－段取</t>
  </si>
  <si>
    <t>生産計画－段取－項目</t>
  </si>
  <si>
    <t>生産計画－工程分類</t>
  </si>
  <si>
    <t>生産計画－工程</t>
  </si>
  <si>
    <t>生産計画－工程－生産パラメータ</t>
  </si>
  <si>
    <t>生産計画－工程－生産パラメータ－計画値</t>
  </si>
  <si>
    <t>生産計画－工程－工程履歴－発生内訳</t>
  </si>
  <si>
    <t>生産計画－工程－ロット管理</t>
  </si>
  <si>
    <t>生産計画－工程－ロット管理－計画値</t>
  </si>
  <si>
    <t>生産計画－工程－構成</t>
  </si>
  <si>
    <t>生産計画－工程－構成－項目</t>
  </si>
  <si>
    <t>生産計画－工程－作業</t>
  </si>
  <si>
    <t>生産計画－工程－作業－項目</t>
  </si>
  <si>
    <t>生産計画－工程－検査</t>
  </si>
  <si>
    <t>生産計画－工程－検査－項目</t>
  </si>
  <si>
    <t>生産計画－工程－検査－計画値</t>
  </si>
  <si>
    <t>生産計画－工程－検査－項目－条件</t>
  </si>
  <si>
    <t>生産計画－工程－検査－項目－条件－計画値</t>
  </si>
  <si>
    <t>生産計画－工程－測定</t>
  </si>
  <si>
    <t>生産計画－工程－測定－項目</t>
  </si>
  <si>
    <t>生産計画－工程－測定－計画値</t>
  </si>
  <si>
    <t>生産計画－工程－測定－項目－条件</t>
  </si>
  <si>
    <t>生産計画－工程－測定－項目－条件－計画値</t>
  </si>
  <si>
    <t>生産実績－状況</t>
  </si>
  <si>
    <t>生産実績－段取</t>
  </si>
  <si>
    <t>生産実績－段取－添付</t>
  </si>
  <si>
    <t>生産実績－工程別実績</t>
  </si>
  <si>
    <t>生産明細－基本実績</t>
  </si>
  <si>
    <t>生産明細－工程－生産パラメータ</t>
  </si>
  <si>
    <t>生産明細－工程－工程履歴</t>
  </si>
  <si>
    <t>生産明細－工程－工程履歴－発生内訳</t>
  </si>
  <si>
    <t>生産明細－工程－ロット管理</t>
  </si>
  <si>
    <t>生産明細－工程－構成</t>
  </si>
  <si>
    <t>生産明細－工程－作業</t>
  </si>
  <si>
    <t>生産実績－工程－作業－添付</t>
  </si>
  <si>
    <t>生産明細－工程－検査</t>
  </si>
  <si>
    <t>生産明細－工程－検査－条件</t>
  </si>
  <si>
    <t>生産明細－工程－検査－添付</t>
  </si>
  <si>
    <t>生産明細－工程－測定</t>
  </si>
  <si>
    <t>生産明細－工程－測定－条件</t>
  </si>
  <si>
    <t>生産明細－工程－測定－添付</t>
  </si>
  <si>
    <t>品質異常・対応実績</t>
  </si>
  <si>
    <t>生産異常・対応実績</t>
  </si>
  <si>
    <t>【標準指示】カテゴリ－品質異常</t>
  </si>
  <si>
    <t>【標準指示】カテゴリ－生産異常</t>
  </si>
  <si>
    <t>【標準指示】拠点－品種</t>
  </si>
  <si>
    <t>【標準指示】品種－生産種別</t>
  </si>
  <si>
    <t>【標準指示】生産種別－生産実績基本</t>
  </si>
  <si>
    <t>【標準指示】生産種別－生産実績段取</t>
  </si>
  <si>
    <t>【標準指示】生産種別－工程分類</t>
  </si>
  <si>
    <t>【標準指示】工程分類－工程</t>
  </si>
  <si>
    <t>【標準指示】工程－生産実績基本</t>
  </si>
  <si>
    <t>【標準指示】工程－生産実績構成</t>
  </si>
  <si>
    <t>【標準指示】工程－生産実績作業</t>
  </si>
  <si>
    <t>【標準指示】工程－生産実績検査</t>
  </si>
  <si>
    <t>【標準指示】工程－生産実績検査－標準値</t>
  </si>
  <si>
    <t>【標準指示】工程－生産実績検査－項目条件－標準値</t>
  </si>
  <si>
    <t>【標準指示】工程－生産実績測定</t>
  </si>
  <si>
    <t>【標準指示】工程－生産実績測定－標準値</t>
  </si>
  <si>
    <t>【標準指示】工程－生産実績測定－項目条件－標準値</t>
  </si>
  <si>
    <t>【標準指示】拠点－品質異常</t>
  </si>
  <si>
    <t>【標準指示】拠点－生産異常</t>
  </si>
  <si>
    <t>【標準指示】品種－品質異常</t>
  </si>
  <si>
    <t>【標準指示】品種－生産異常</t>
  </si>
  <si>
    <t>【標準指示】生産種別－品質異常</t>
  </si>
  <si>
    <t>【標準指示】生産種別－生産異常</t>
  </si>
  <si>
    <t>【標準指示】異常区分</t>
  </si>
  <si>
    <t>【標準指示】処置分類</t>
  </si>
  <si>
    <t>【標準指示】発生原因分類</t>
  </si>
  <si>
    <t>【標準指示】発生対策分類</t>
  </si>
  <si>
    <t>【標準指示】流出原因分類</t>
  </si>
  <si>
    <t>【標準指示】流出対策分類</t>
  </si>
  <si>
    <t>品種マスタ</t>
  </si>
  <si>
    <t>品種マスタ－付属情報</t>
  </si>
  <si>
    <t>生産種別マスタ</t>
  </si>
  <si>
    <t>工程分類マスタ</t>
  </si>
  <si>
    <t>工程マスタ</t>
  </si>
  <si>
    <t>生産実績基本マスタ</t>
  </si>
  <si>
    <t>生産実績基本マスタ－工程別</t>
  </si>
  <si>
    <t>生産実績基本マスタ－工程別－生産パラメータ</t>
  </si>
  <si>
    <t>生産実績基本マスタ－工程別－工程履歴</t>
  </si>
  <si>
    <t>生産実績基本マスタ－ロット管理</t>
  </si>
  <si>
    <t>生産実績構成マスタ</t>
  </si>
  <si>
    <t>生産実績構成マスタ－項目</t>
  </si>
  <si>
    <t>生産実績作業マスタ</t>
  </si>
  <si>
    <t>生産実績作業マスタ－項目</t>
  </si>
  <si>
    <t>生産実績検査マスタ</t>
  </si>
  <si>
    <t>生産実績検査マスタ－項目</t>
  </si>
  <si>
    <t>生産実績検査マスタ－項目条件</t>
  </si>
  <si>
    <t>生産実績測定マスタ</t>
  </si>
  <si>
    <t>生産実績測定マスタ－項目</t>
  </si>
  <si>
    <t>生産実績測定マスタ－項目条件</t>
  </si>
  <si>
    <t>異常－異常ランクマスタ</t>
  </si>
  <si>
    <t>異常－異常ランクマスタ－項目</t>
  </si>
  <si>
    <t>異常－異常ランク項目マスタ</t>
  </si>
  <si>
    <t>異常－ライン落ちマスタ</t>
  </si>
  <si>
    <t>異常－ライン落ちマスタ－項目</t>
  </si>
  <si>
    <t>異常－ライン落ち項目マスタ</t>
  </si>
  <si>
    <t>異常－何変マスタ</t>
  </si>
  <si>
    <t>異常－何変マスタ－項目</t>
  </si>
  <si>
    <t>異常－何変項目マスタ</t>
  </si>
  <si>
    <t>異常－不再現マスタ</t>
  </si>
  <si>
    <t>異常－不再現マスタ－項目</t>
  </si>
  <si>
    <t>異常－不再現項目マスタ</t>
  </si>
  <si>
    <t>異常－発見区マスタ</t>
  </si>
  <si>
    <t>異常－発見区マスタ－項目</t>
  </si>
  <si>
    <t>異常－発生区項目マスタ</t>
  </si>
  <si>
    <t>異常－責任区マスタ</t>
  </si>
  <si>
    <t>異常－責任区マスタ－項目</t>
  </si>
  <si>
    <t>異常－責任区項目マスタ</t>
  </si>
  <si>
    <t>異常－発生区マスタ</t>
  </si>
  <si>
    <t>異常－発生区マスタ－項目</t>
  </si>
  <si>
    <t>異常－効果確認判定マスタ</t>
  </si>
  <si>
    <t>異常－効果確認判定マスタ－項目</t>
  </si>
  <si>
    <t>異常－効果確認判定項目マスタ</t>
  </si>
  <si>
    <t>異常－異常区分マスタ</t>
  </si>
  <si>
    <t>異常－異常区分マスタ－項目</t>
  </si>
  <si>
    <t>異常－異常区分項目マスタ</t>
  </si>
  <si>
    <t>異常－異常分類マスタ</t>
  </si>
  <si>
    <t>異常－異常分類マスタ－項目</t>
  </si>
  <si>
    <t>異常－異常分類項目マスタ</t>
  </si>
  <si>
    <t>異常－異常現象マスタ</t>
  </si>
  <si>
    <t>異常－異常現象マスタ－項目</t>
  </si>
  <si>
    <t>異常－異常現象項目マスタ</t>
  </si>
  <si>
    <t>異常－異常箇所マスタ</t>
  </si>
  <si>
    <t>異常－異常箇所マスタ－項目</t>
  </si>
  <si>
    <t>異常－異常箇所項目マスタ</t>
  </si>
  <si>
    <t>異常－異常内容マスタ</t>
  </si>
  <si>
    <t>異常－異常内容マスタ－項目</t>
  </si>
  <si>
    <t>異常－異常内容項目マスタ</t>
  </si>
  <si>
    <t>異常－処置分類マスタ</t>
  </si>
  <si>
    <t>異常－処置分類マスタ－項目</t>
  </si>
  <si>
    <t>異常－処置分類項目マスタ</t>
  </si>
  <si>
    <t>異常－処置方法マスタ</t>
  </si>
  <si>
    <t>異常－処置方法マスタ－項目</t>
  </si>
  <si>
    <t>異常－処置方法項目マスタ</t>
  </si>
  <si>
    <t>異常－処置内容マスタ</t>
  </si>
  <si>
    <t>異常－処置内容マスタ－項目</t>
  </si>
  <si>
    <t>異常－処置内容項目マスタ</t>
  </si>
  <si>
    <t>異常－発生原因分類マスタ</t>
  </si>
  <si>
    <t>異常－発生原因分類マスタ－項目</t>
  </si>
  <si>
    <t>異常－発生原因分類項目マスタ</t>
  </si>
  <si>
    <t>異常－発生原因内容マスタ</t>
  </si>
  <si>
    <t>異常－発生原因内容マスタ－項目</t>
  </si>
  <si>
    <t>異常－発生原因内容項目マスタ</t>
  </si>
  <si>
    <t>異常－発生対策分類マスタ</t>
  </si>
  <si>
    <t>異常－発生対策分類マスタ－項目</t>
  </si>
  <si>
    <t>異常－発生対策分類項目マスタ</t>
  </si>
  <si>
    <t>異常－発生対策内容マスタ</t>
  </si>
  <si>
    <t>異常－発生対策内容マスタ－項目</t>
  </si>
  <si>
    <t>異常－発生対策内容項目マスタ</t>
  </si>
  <si>
    <t>異常－流出原因分類マスタ</t>
  </si>
  <si>
    <t>異常－流出原因分類マスタ－項目</t>
  </si>
  <si>
    <t>異常－流出原因分類項目マスタ</t>
  </si>
  <si>
    <t>異常－流出原因内容マスタ</t>
  </si>
  <si>
    <t>異常－流出原因内容項目マスタ</t>
  </si>
  <si>
    <t>異常－流出対策分類マスタ</t>
  </si>
  <si>
    <t>異常－流出対策分類マスタ－項目</t>
  </si>
  <si>
    <t>異常－流出対策分類項目マスタ</t>
  </si>
  <si>
    <t>異常－流出対策内容マスタ</t>
  </si>
  <si>
    <t>異常－流出対策内容マスタ－項目</t>
  </si>
  <si>
    <t>異常－流出対策内容項目マスタ</t>
  </si>
  <si>
    <t>異常－効果確認内容マスタ</t>
  </si>
  <si>
    <t>異常－効果確認内容項目マスタ</t>
  </si>
  <si>
    <t>画面マスタ</t>
  </si>
  <si>
    <t>テナント別画面マスタ</t>
  </si>
  <si>
    <t>事業別画面マスタ</t>
  </si>
  <si>
    <t>カテゴリ別画面マスタ</t>
  </si>
  <si>
    <t>拠点別画面マスタ</t>
  </si>
  <si>
    <t>コードマスタ</t>
  </si>
  <si>
    <t>ログ</t>
  </si>
  <si>
    <t>図表マスタ</t>
  </si>
  <si>
    <t>ENTERPRISE</t>
  </si>
  <si>
    <t>CATEGORY</t>
  </si>
  <si>
    <t>LOCATION</t>
  </si>
  <si>
    <t>LOCATION_SELECT</t>
  </si>
  <si>
    <t>PRODUCT_SELECT</t>
  </si>
  <si>
    <t>PRODUCTION_TYPE_SELECT</t>
  </si>
  <si>
    <t>OPERATE_SELECT</t>
  </si>
  <si>
    <t>PRODUCTION_PLAN</t>
  </si>
  <si>
    <t>PRODUCTION_PLAN_PRODUCT</t>
  </si>
  <si>
    <t>PRODUCTION_PLAN_PRODUCT_ATTACHEDINFO</t>
  </si>
  <si>
    <t>PRODUCTION_PLAN_PRODUCTION_TYPE</t>
  </si>
  <si>
    <t>PRODUCTION_PLAN_BASIC</t>
  </si>
  <si>
    <t>PRODUCTION_PLAN_SETUP</t>
  </si>
  <si>
    <t>PRODUCTION_PLAN_SETUP_ITEM</t>
  </si>
  <si>
    <t>PRODUCTION_PLAN_PROCESS_GROUP</t>
  </si>
  <si>
    <t>PRODUCTION_PLAN_PROCESS</t>
  </si>
  <si>
    <t>PRODUCTION_PLAN_PROCESS_PARAMETER</t>
  </si>
  <si>
    <t>PRODUCTION_PLAN_PROCESS_PARAMETER_PLANNED_VALUE</t>
  </si>
  <si>
    <t>PRODUCTION_PLAN_PROCESS_HISTORY_OCCURRENCE_BREAKDOWN</t>
  </si>
  <si>
    <t>PRODUCTION_PLAN_PROCESS_LOT</t>
  </si>
  <si>
    <t>PRODUCTION_PLAN_PROCESS_LOT_PLANNED_VALUE</t>
  </si>
  <si>
    <t>PRODUCTION_PLAN_PROCESS_COMPONENTS</t>
  </si>
  <si>
    <t>PRODUCTION_PLAN_PROCESS_COMPONENTS_ITEM</t>
  </si>
  <si>
    <t>PRODUCTION_PLAN_PROCESS_COMPONENTS_ITEM_PLANNED_VALUE</t>
  </si>
  <si>
    <t>PRODUCTION_PLAN_PROCESS_WORK</t>
  </si>
  <si>
    <t>PRODUCTION_PLAN_PROCESS_WORK_ITEM</t>
  </si>
  <si>
    <t>PRODUCTION_PLAN_PROCESS_INSPECTION</t>
  </si>
  <si>
    <t>PRODUCTION_PLAN_PROCESS_INSPECTION_ITEM</t>
  </si>
  <si>
    <t>PRODUCTION_PLAN_PROCESS_INSPECTION_ITEM_PLANNED_VALUE</t>
  </si>
  <si>
    <t>PRODUCTION_PLAN_PROCESS_INSPECTION_ITEM_CONDITION</t>
  </si>
  <si>
    <t>PRODUCTION_PLAN_PROCESS_INSPECTION_ITEM_CONDITION_PLANNED_VALUE</t>
  </si>
  <si>
    <t>PRODUCTION_PLAN_PROCESS_MEASUREMENT</t>
  </si>
  <si>
    <t>PRODUCTION_PLAN_PROCESS_MEASUREMENT_ITEM</t>
  </si>
  <si>
    <t>PRODUCTION_PLAN_PROCESS_MEASUREMENT_ITEM_PLANNED_VALUE</t>
  </si>
  <si>
    <t>PRODUCTION_PLAN_PROCESS_MEASUREMENT_ITEM_CONDITION</t>
  </si>
  <si>
    <t>PRODUCTION_PLAN_PROCESS_MEASUREMENT_ITEM_CONDITION_PLANNED_VALUE</t>
  </si>
  <si>
    <t>PRODUCTION_RESULT_MONITOR</t>
  </si>
  <si>
    <t>PRODUCTION_RESULT_SETUP</t>
  </si>
  <si>
    <t>PRODUCTION_RESULT_SETUP_ATTACHED_FILE</t>
  </si>
  <si>
    <t>PRODUCTION_RESULT_PROCESS</t>
  </si>
  <si>
    <t>PRODUCTION_DETAIL_PROCESS</t>
  </si>
  <si>
    <t>PRODUCTION_DETAIL_PROCESS_PARAMETER</t>
  </si>
  <si>
    <t>PRODUCTION_DETAIL_PROCESS_HISTORY</t>
  </si>
  <si>
    <t>PRODUCTION_DETAIL_PROCESS_HISTORY_BREAKDOWN</t>
  </si>
  <si>
    <t>PRODUCTION_DETAIL_PROCESS_COMPONENTS</t>
  </si>
  <si>
    <t>PRODUCTION_DETAIL_PROCESS_WORK</t>
  </si>
  <si>
    <t>OPERATION_PLAN_BASIC</t>
  </si>
  <si>
    <t>OPERATION_PLAN_CAPACITY</t>
  </si>
  <si>
    <t>OPERATION_PLAN_INSPECTION</t>
  </si>
  <si>
    <t>OPERATION_PLAN_REPLACEMENT</t>
  </si>
  <si>
    <t>OPERATION_PLAN_OPERATION_ANOMALY_ITEM</t>
  </si>
  <si>
    <t>OPERATION_PLAN_OPERATION_ANOMALY_RANK</t>
  </si>
  <si>
    <t>OPERATION_PLAN_OPERATION_ANOMALY_LINEOUT</t>
  </si>
  <si>
    <t>OPERATION_PLAN_OPERATION_ANOMALY_SOMETHING</t>
  </si>
  <si>
    <t>OPERATION_PLAN_OPERATION_ANOMALY_UNREPEAT</t>
  </si>
  <si>
    <t>OPERATION_PLAN_OPERATION_ANOMALY_DISCOVER_SECTION</t>
  </si>
  <si>
    <t>OPERATION_PLAN_OPERATION_ANOMALY_RESPONSIBLE_SECTION</t>
  </si>
  <si>
    <t>OPERATION_PLAN_OPERATION_ANOMALY_OCCURRENCE_SECTION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</si>
  <si>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</si>
  <si>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</si>
  <si>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</si>
  <si>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</si>
  <si>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</si>
  <si>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</si>
  <si>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</si>
  <si>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</si>
  <si>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OPERATION_RESULT_MONITOR</t>
  </si>
  <si>
    <t>OPERATION_RESULT_CAPACITY</t>
  </si>
  <si>
    <t>OPERATION_DETAIL_BASIC</t>
  </si>
  <si>
    <t>QUALITY_ANOMALY</t>
  </si>
  <si>
    <t>PRODUCTION_ANOMALY</t>
  </si>
  <si>
    <t>SOI_CATEGORY_PRODUCTION_ANOMALY</t>
  </si>
  <si>
    <t>SOI_PRODUCT_PRODUCTION_TYPE</t>
  </si>
  <si>
    <t>SOI_PROCESS_BASIC_PARAMETER_STANDARD_VALUE</t>
  </si>
  <si>
    <t>SOI_PROCESS_BASIC_LOT_STANDARD_VALUE</t>
  </si>
  <si>
    <t>SOI_PROCESS_COMPONENTS_STANDARD_VALUE</t>
  </si>
  <si>
    <t>SOI_PROCESS_INSPECTION_STANDARD_VALUE</t>
  </si>
  <si>
    <t>SOI_PROCESS_INSPECTION_CONDITION_STANDARD_VALUE</t>
  </si>
  <si>
    <t>SOI_PROCESS_MEASUREMENT_STANDARD_VALUE</t>
  </si>
  <si>
    <t>SOI_PROCESS_MEASUREMENT_CONDITION_STANDARD_VALUE</t>
  </si>
  <si>
    <t>SOI_OPERATION_BASIC_PARAMETER_STANDARD_VALUE</t>
  </si>
  <si>
    <t>SOI_OPERATION_BASIC_CYCLE_TIME_STANDARD_VALUE</t>
  </si>
  <si>
    <t>SOI_LOCATION_QUALITY_ANOMALY</t>
  </si>
  <si>
    <t>SOI_LOCATION_PRODUCTION_ANOMALY</t>
  </si>
  <si>
    <t>SOI_LOCATION_OPERATION_ANOMALY</t>
  </si>
  <si>
    <t>SOI_OPERATE_OPERATION_ANOMALY</t>
  </si>
  <si>
    <t>PRODUCTION_BASIC_PROCESS_MASTER_HISTORY_OCCURRENCE_BREAKDOWN</t>
  </si>
  <si>
    <t>ANOMALY_SOMETHING_MASTER_ITEM</t>
  </si>
  <si>
    <t>ANOMALY_ANOMALY_ITEM_MASTER</t>
  </si>
  <si>
    <t>ANOMALY_CATEGORY_MASTER</t>
  </si>
  <si>
    <t>ANOMALY_TREAT_CONTENT_MASTER</t>
  </si>
  <si>
    <t>ANOMALY_OCCURRENCE_CAUSE_CATEGORY_MASTER</t>
  </si>
  <si>
    <t>ANOMALY_OCCURRENCE_MEASURE_CONTENT_ITEM_MASTER</t>
  </si>
  <si>
    <t>ANOMALY_SPILL_MEASURE_CATEGORY_MASTER</t>
  </si>
  <si>
    <t>LOG</t>
  </si>
  <si>
    <t>CHART</t>
  </si>
  <si>
    <t>PRODUCTION_PLAN_BASIC</t>
    <phoneticPr fontId="1"/>
  </si>
  <si>
    <t>PRODUCTION_PLAN_SETUP</t>
    <phoneticPr fontId="1"/>
  </si>
  <si>
    <t>PRODUCTION_PLAN_PROCESS</t>
    <phoneticPr fontId="1"/>
  </si>
  <si>
    <t>PRODUCTION_PLAN_PROCESS_WORK</t>
    <phoneticPr fontId="1"/>
  </si>
  <si>
    <t>PRODUCTION_PLAN_PROCESS_INSPECTION</t>
    <phoneticPr fontId="1"/>
  </si>
  <si>
    <t>PRODUCTION_ANOMALY</t>
    <phoneticPr fontId="1"/>
  </si>
  <si>
    <t>PRODUCTION_RESULT_MONITOR</t>
    <phoneticPr fontId="1"/>
  </si>
  <si>
    <t>PRODUCTION_DETAIL_PROCESS_COMPONENTS</t>
    <phoneticPr fontId="1"/>
  </si>
  <si>
    <t>PRODUCTION_DETAIL_PROCESS_WORK</t>
    <phoneticPr fontId="1"/>
  </si>
  <si>
    <t>PRODUCTION_DETAIL_PROCESS_INSPECTION</t>
    <phoneticPr fontId="1"/>
  </si>
  <si>
    <t>設備</t>
    <rPh sb="0" eb="2">
      <t>セツビ</t>
    </rPh>
    <phoneticPr fontId="1"/>
  </si>
  <si>
    <t>OPERATION_DETAIL_BASIC</t>
    <phoneticPr fontId="1"/>
  </si>
  <si>
    <t>OPERATION_RESULT_CAPACITY</t>
    <phoneticPr fontId="1"/>
  </si>
  <si>
    <t>PRODUCTION_PLAN</t>
    <phoneticPr fontId="1"/>
  </si>
  <si>
    <t>PRODUCTION_DETAIL_PROCESS_MEASUREMENT</t>
    <phoneticPr fontId="1"/>
  </si>
  <si>
    <t>LOG_TENANT</t>
    <phoneticPr fontId="1"/>
  </si>
  <si>
    <t>テナント</t>
    <phoneticPr fontId="1"/>
  </si>
  <si>
    <t>TENANT</t>
    <phoneticPr fontId="1"/>
  </si>
  <si>
    <t>テナント別ログ</t>
  </si>
  <si>
    <t>PRODUCTION_PLAN_PRODUCT</t>
    <phoneticPr fontId="1"/>
  </si>
  <si>
    <t>PRODUCTION_PLAN_BASIC_PARAMETER</t>
  </si>
  <si>
    <t>PRODUCTION_PLAN_BASIC_PARAMETER</t>
    <phoneticPr fontId="1"/>
  </si>
  <si>
    <t>生産計画－基本－生産パラメータ</t>
    <phoneticPr fontId="1"/>
  </si>
  <si>
    <t>異常－効果確認内容マスタ－項目</t>
    <phoneticPr fontId="1"/>
  </si>
  <si>
    <t>生産計画－基本</t>
    <phoneticPr fontId="1"/>
  </si>
  <si>
    <t>PRODUCTION_PLAN_BASIC_PARAMETER_PLANNED_VALUE</t>
    <phoneticPr fontId="1"/>
  </si>
  <si>
    <t>PRODUCTION_PLAN_BASIC_PARAMETER_PLANNED_VALUE</t>
    <phoneticPr fontId="1"/>
  </si>
  <si>
    <t>生産計画－基本－生産パラメータ－計画値</t>
    <phoneticPr fontId="1"/>
  </si>
  <si>
    <t>PRODUCTION_PLAN_SETUP_ITEM</t>
    <phoneticPr fontId="1"/>
  </si>
  <si>
    <t>PRODUCTION_PLAN_PROCESS_GROUP</t>
    <phoneticPr fontId="1"/>
  </si>
  <si>
    <t>PRODUCTION_PLAN_PROCESS_PARAMETER</t>
    <phoneticPr fontId="1"/>
  </si>
  <si>
    <t>PRODUCTION_PLAN_PROCESS_PARAMETER_PLANNED_VALUE</t>
    <phoneticPr fontId="1"/>
  </si>
  <si>
    <t>PRODUCTION_PLAN_PROCESS_HISTORY_OCCURRENCE_BREAKDOWN</t>
    <phoneticPr fontId="1"/>
  </si>
  <si>
    <t>PRODUCTION_PLAN_PROCESS_LOT</t>
    <phoneticPr fontId="1"/>
  </si>
  <si>
    <t>PRODUCTION_PLAN_PROCESS_LOT_PLANNED_VALUE</t>
    <phoneticPr fontId="1"/>
  </si>
  <si>
    <t>PRODUCTION_PLAN_PROCESS_MEASUREMENT_ITEM_PLANNED_VALUE</t>
    <phoneticPr fontId="1"/>
  </si>
  <si>
    <t>PRODUCTION_PLAN_PROCESS_MEASUREMENT_ITEM</t>
    <phoneticPr fontId="1"/>
  </si>
  <si>
    <t>PRODUCTION_PLAN_PROCESS_MEASUREMENT_ITEM_CONDITION</t>
    <phoneticPr fontId="1"/>
  </si>
  <si>
    <t>PRODUCTION_PLAN_PROCESS_MEASUREMENT_ITEM_CONDITION_PLANNED_VALUE</t>
    <phoneticPr fontId="1"/>
  </si>
  <si>
    <t>PRODUCTION_PLAN_PRODUCTION_ANOMALY</t>
  </si>
  <si>
    <t>PRODUCTION_PLAN_PRODUCTION_ANOMALY</t>
    <phoneticPr fontId="1"/>
  </si>
  <si>
    <t>生産計画－生産異常</t>
  </si>
  <si>
    <t>PRODUCTION_PLAN_PRODUCTION_ANOMALY_ITEM</t>
  </si>
  <si>
    <t>PRODUCTION_PLAN_PRODUCTION_ANOMALY_ITEM</t>
    <phoneticPr fontId="1"/>
  </si>
  <si>
    <t>生産計画－生産異常項目</t>
  </si>
  <si>
    <t>PRODUCTION_PLAN_PRODUCTION_ANOMALY_RANK</t>
  </si>
  <si>
    <t>生産計画－生産異常－異常ランク</t>
  </si>
  <si>
    <t>PRODUCTION_PLAN_PRODUCTION_ANOMALY_LINEOUT</t>
  </si>
  <si>
    <t>生産計画－生産異常－ライン落ち</t>
    <phoneticPr fontId="1"/>
  </si>
  <si>
    <t>PRODUCTION_PLAN_PRODUCTION_ANOMALY_SOMETHING</t>
  </si>
  <si>
    <t>生産計画－生産異常－何変</t>
  </si>
  <si>
    <t>PRODUCTION_PLAN_PRODUCTION_ANOMALY_SOMETHING</t>
    <phoneticPr fontId="1"/>
  </si>
  <si>
    <t>PRODUCTION_PLAN_PRODUCTION_ANOMALY_UNREPEAT</t>
  </si>
  <si>
    <t>PRODUCTION_PLAN_PRODUCTION_ANOMALY_DISCOVER_SECTION</t>
  </si>
  <si>
    <t>PRODUCTION_PLAN_PRODUCTION_ANOMALY_DISCOVER_SECTION</t>
    <phoneticPr fontId="1"/>
  </si>
  <si>
    <t>PRODUCTION_PLAN_PRODUCTION_ANOMALY_RESPONSIBLE_SECTION</t>
  </si>
  <si>
    <t>PRODUCTION_PLAN_PRODUCTION_ANOMALY_RESPONSIBLE_SECTION</t>
    <phoneticPr fontId="1"/>
  </si>
  <si>
    <t>PRODUCTION_PLAN_PRODUCTION_ANOMALY_OCCURRENCE_SECTION</t>
  </si>
  <si>
    <t>PRODUCTION_PLAN_PRODUCTION_ANOMALY_OCCURRENCE_SECTION</t>
    <phoneticPr fontId="1"/>
  </si>
  <si>
    <t>PRODUCTION_PLAN_PRODUCTION_ANOMALY_CONFIRM_DECISION</t>
  </si>
  <si>
    <t>PRODUCTION_PLAN_PRODUCTION_ANOMALY_CONFIRM_DECISION</t>
    <phoneticPr fontId="1"/>
  </si>
  <si>
    <t>PRODUCTION_PLAN_PRODUCTION_ANOMALY_ANOMALY</t>
  </si>
  <si>
    <t>PRODUCTION_PLAN_PRODUCTION_ANOMALY_ANOMALY</t>
    <phoneticPr fontId="1"/>
  </si>
  <si>
    <t>生産計画－生産異常－不再現</t>
  </si>
  <si>
    <t>生産計画－生産異常－発見区</t>
    <phoneticPr fontId="1"/>
  </si>
  <si>
    <t>生産計画－生産異常－責任区</t>
  </si>
  <si>
    <t>生産計画－生産異常－発生区</t>
  </si>
  <si>
    <t>生産計画－生産異常－効果確認判定</t>
  </si>
  <si>
    <t>生産計画－生産異常－異常区分</t>
  </si>
  <si>
    <t>PRODUCTION_PLAN_PRODUCTION_ANOMALY_TREAT_CATEGORY</t>
  </si>
  <si>
    <t>PRODUCTION_PLAN_PRODUCTION_ANOMALY_TREAT_CATEGORY</t>
    <phoneticPr fontId="1"/>
  </si>
  <si>
    <t>生産計画－生産異常－処置分類</t>
    <phoneticPr fontId="1"/>
  </si>
  <si>
    <t>PRODUCTION_PLAN_PRODUCTION_ANOMALY_OCCURRENCE_CAUSE_CATEGORY</t>
  </si>
  <si>
    <t>PRODUCTION_PLAN_PRODUCTION_ANOMALY_OCCURRENCE_CAUSE_CATEGORY</t>
    <phoneticPr fontId="1"/>
  </si>
  <si>
    <t>生産計画－生産異常－発生原因分類</t>
    <phoneticPr fontId="1"/>
  </si>
  <si>
    <t>生産計画－生産異常－発生対策分類</t>
    <phoneticPr fontId="1"/>
  </si>
  <si>
    <t>PRODUCTION_PLAN_PRODUCTION_ANOMALY_OCCURRENCE_MEASURE_CATEGORY</t>
  </si>
  <si>
    <t>PRODUCTION_PLAN_PRODUCTION_ANOMALY_SPILL_CAUSE_CATEGORY</t>
  </si>
  <si>
    <t>PRODUCTION_PLAN_PRODUCTION_ANOMALY_SPILL_CAUSE_CATEGORY</t>
    <phoneticPr fontId="1"/>
  </si>
  <si>
    <t>PRODUCTION_PLAN_PRODUCTION_ANOMALY_SPILL_MEASURE_CATEGORY</t>
  </si>
  <si>
    <t>PRODUCTION_PLAN_PRODUCTION_ANOMALY_CONFIRM_CONTENT</t>
  </si>
  <si>
    <t>PRODUCTION_PLAN_PRODUCTION_ANOMALY_CONFIRM_CONTENT</t>
    <phoneticPr fontId="1"/>
  </si>
  <si>
    <t>生産計画－生産異常－流出原因分類</t>
    <phoneticPr fontId="1"/>
  </si>
  <si>
    <t>生産計画－生産異常－流出対策分類</t>
    <phoneticPr fontId="1"/>
  </si>
  <si>
    <t>生産計画－生産異常－効果確認内容</t>
    <phoneticPr fontId="1"/>
  </si>
  <si>
    <t>PRODUCTION_PLAN_QUALITY_ANOMALY</t>
  </si>
  <si>
    <t>PRODUCTION_PLAN_QUALITY_ANOMALY</t>
    <phoneticPr fontId="1"/>
  </si>
  <si>
    <t>PRODUCTION_PLAN_QUALITY_ANOMALY_ITEM</t>
  </si>
  <si>
    <t>PRODUCTION_PLAN_QUALITY_ANOMALY_ITEM</t>
    <phoneticPr fontId="1"/>
  </si>
  <si>
    <t>PRODUCTION_PLAN_QUALITY_ANOMALY_RANK</t>
  </si>
  <si>
    <t>PRODUCTION_PLAN_QUALITY_ANOMALY_RANK</t>
    <phoneticPr fontId="1"/>
  </si>
  <si>
    <t>PRODUCTION_PLAN_QUALITY_ANOMALY_LINEOUT</t>
  </si>
  <si>
    <t>PRODUCTION_PLAN_QUALITY_ANOMALY_LINEOUT</t>
    <phoneticPr fontId="1"/>
  </si>
  <si>
    <t>PRODUCTION_PLAN_QUALITY_ANOMALY_SOMETHING</t>
  </si>
  <si>
    <t>PRODUCTION_PLAN_QUALITY_ANOMALY_SOMETHING</t>
    <phoneticPr fontId="1"/>
  </si>
  <si>
    <t>PRODUCTION_PLAN_QUALITY_ANOMALY_UNREPEAT</t>
  </si>
  <si>
    <t>PRODUCTION_PLAN_QUALITY_ANOMALY_DISCOVER_SECTION</t>
  </si>
  <si>
    <t>PRODUCTION_PLAN_QUALITY_ANOMALY_RESPONSIBLE_SECTION</t>
  </si>
  <si>
    <t>PRODUCTION_PLAN_QUALITY_ANOMALY_OCCURRENCE_SECTION</t>
  </si>
  <si>
    <t>PRODUCTION_PLAN_QUALITY_ANOMALY_CONFIRM_DECISION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</si>
  <si>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</si>
  <si>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</si>
  <si>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</si>
  <si>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</si>
  <si>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</si>
  <si>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</si>
  <si>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</si>
  <si>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生産計画－品質異常</t>
  </si>
  <si>
    <t>生産計画－品質異常項目</t>
  </si>
  <si>
    <t>生産計画－品質異常－異常ランク</t>
  </si>
  <si>
    <t>生産計画－品質異常－ライン落ち</t>
  </si>
  <si>
    <t>生産計画－品質異常－何変</t>
  </si>
  <si>
    <t>生産計画－品質異常－不再現</t>
  </si>
  <si>
    <t>生産計画－品質異常－発見区</t>
  </si>
  <si>
    <t>生産計画－品質異常－責任区</t>
  </si>
  <si>
    <t>生産計画－品質異常－発生区</t>
  </si>
  <si>
    <t>生産計画－品質異常－効果確認判定</t>
  </si>
  <si>
    <t>生産計画－品質異常－異常区分</t>
  </si>
  <si>
    <t>生産計画－品質異常－処置分類</t>
  </si>
  <si>
    <t>生産計画－品質異常－発生原因分類</t>
  </si>
  <si>
    <t>生産計画－品質異常－発生対策分類</t>
  </si>
  <si>
    <t>生産計画－品質異常－流出原因分類</t>
  </si>
  <si>
    <t>生産計画－品質異常－流出対策分類</t>
    <phoneticPr fontId="1"/>
  </si>
  <si>
    <t>生産計画－品質異常－効果確認内容</t>
    <phoneticPr fontId="1"/>
  </si>
  <si>
    <t>QUALITY_ANOMALY</t>
    <phoneticPr fontId="1"/>
  </si>
  <si>
    <t>稼動選択</t>
    <phoneticPr fontId="1"/>
  </si>
  <si>
    <t>稼動計画</t>
  </si>
  <si>
    <t>稼動計画－稼動日</t>
  </si>
  <si>
    <t>稼動計画－稼動</t>
  </si>
  <si>
    <t>稼動計画－稼動－付属情報</t>
  </si>
  <si>
    <t>稼動計画－品種</t>
  </si>
  <si>
    <t>稼動計画－基本</t>
  </si>
  <si>
    <t>稼動計画－基本－稼動パラメータ</t>
  </si>
  <si>
    <t>稼動計画－基本－サイクルタイム</t>
  </si>
  <si>
    <t>稼動計画－能力</t>
  </si>
  <si>
    <t>稼動計画－能力－項目</t>
  </si>
  <si>
    <t>稼動計画－点検</t>
  </si>
  <si>
    <t>稼動計画－点検－項目</t>
  </si>
  <si>
    <t>稼動計画－交換</t>
  </si>
  <si>
    <t>稼動計画－交換－項目</t>
  </si>
  <si>
    <t>稼動計画－稼動異常項目</t>
  </si>
  <si>
    <t>稼動計画－稼動異常－異常ランク</t>
  </si>
  <si>
    <t>稼動計画－稼動異常－ライン落ち</t>
  </si>
  <si>
    <t>稼動計画－稼動異常－何変</t>
  </si>
  <si>
    <t>稼動計画－稼動異常－不再現</t>
  </si>
  <si>
    <t>稼動計画－稼動異常－発見区</t>
  </si>
  <si>
    <t>稼動計画－稼動異常－責任区</t>
  </si>
  <si>
    <t>稼動計画－稼動異常－発生区</t>
  </si>
  <si>
    <t>稼動計画－稼動異常－効果確認判定</t>
  </si>
  <si>
    <t>稼動計画－稼動異常－異常区分</t>
  </si>
  <si>
    <t>稼動計画－稼動異常－処置分類</t>
  </si>
  <si>
    <t>稼動計画－稼動異常－発生原因分類</t>
  </si>
  <si>
    <t>稼動計画－稼動異常－発生対策分類</t>
  </si>
  <si>
    <t>稼動計画－稼動異常－流出原因分類</t>
  </si>
  <si>
    <t>稼動計画－稼動異常－流出対策分類</t>
  </si>
  <si>
    <t>稼動計画－稼動異常－効果確認内容</t>
  </si>
  <si>
    <t>稼動実績－稼動状況</t>
  </si>
  <si>
    <t>稼動実績－能力実績</t>
  </si>
  <si>
    <t>稼動実績－品種別実績</t>
  </si>
  <si>
    <t>稼動実績－サイクルタイム</t>
  </si>
  <si>
    <t>稼動明細－基本実績</t>
  </si>
  <si>
    <t>稼動明細－基本－パラメータ</t>
  </si>
  <si>
    <t>稼動明細－基本－稼動ステータス履歴</t>
  </si>
  <si>
    <t>稼動明細－基本－サイクルタイム</t>
  </si>
  <si>
    <t>稼動明細－能力</t>
  </si>
  <si>
    <t>稼動明細－点検</t>
  </si>
  <si>
    <t>稼動明細－点検－添付</t>
  </si>
  <si>
    <t>稼動明細－交換</t>
  </si>
  <si>
    <t>稼動明細－交換－添付</t>
  </si>
  <si>
    <t>稼動点検予実績－計画</t>
  </si>
  <si>
    <t>稼動点検予実績－実績</t>
  </si>
  <si>
    <t>稼動交換予実績－計画</t>
  </si>
  <si>
    <t>稼動交換予実績－実績</t>
  </si>
  <si>
    <t>稼動異常・対応実績</t>
  </si>
  <si>
    <t>【標準指示】拠点－稼動</t>
  </si>
  <si>
    <t>【標準指示】稼動－稼動実績基本</t>
  </si>
  <si>
    <t>【標準指示】稼動－稼動実績基本－稼動パラメータ－標準値</t>
  </si>
  <si>
    <t>【標準指示】稼動－稼動実績基本－サイクルタイム－標準値</t>
  </si>
  <si>
    <t>【標準指示】稼動－稼動実績能力</t>
  </si>
  <si>
    <t>【標準指示】稼動－稼動実績点検</t>
  </si>
  <si>
    <t>【標準指示】稼動－稼動実績交換</t>
  </si>
  <si>
    <t>【標準指示】稼動－品種</t>
  </si>
  <si>
    <t>【標準指示】稼動－品種－基本</t>
  </si>
  <si>
    <t>【標準指示】稼動－品種－生産パラメータ</t>
  </si>
  <si>
    <t>【標準指示】稼動－品種－工程履歴</t>
  </si>
  <si>
    <t>【標準指示】稼動－品種－工程履歴－発生内訳</t>
  </si>
  <si>
    <t>【標準指示】稼動－品種－ロット管理</t>
  </si>
  <si>
    <t>【標準指示】稼動－品種－構成</t>
  </si>
  <si>
    <t>【標準指示】稼動－品種－作業</t>
  </si>
  <si>
    <t>【標準指示】稼動－品種－検査</t>
  </si>
  <si>
    <t>【標準指示】稼動－品種－検査－条件</t>
  </si>
  <si>
    <t>【標準指示】稼動－品種－測定</t>
  </si>
  <si>
    <t>【標準指示】稼動－品種－測定－条件</t>
  </si>
  <si>
    <t>【標準指示】拠点－稼動異常</t>
  </si>
  <si>
    <t>【標準指示】稼動－稼動異常</t>
  </si>
  <si>
    <t>【標準指示】稼動－稼動異常項目</t>
  </si>
  <si>
    <t>稼動マスタ</t>
  </si>
  <si>
    <t>稼動マスタ－付属情報</t>
  </si>
  <si>
    <t>稼動実績基本マスタ</t>
  </si>
  <si>
    <t>稼動実績基本マスタ－サイクルタイム</t>
  </si>
  <si>
    <t>稼動実績能力マスタ</t>
  </si>
  <si>
    <t>稼動実績能力マスタ－項目</t>
  </si>
  <si>
    <t>稼動実績点検マスタ</t>
  </si>
  <si>
    <t>稼動実績点検マスタ－項目</t>
  </si>
  <si>
    <t>稼動実績交換マスタ</t>
  </si>
  <si>
    <t>稼動実績交換マスタ－項目</t>
  </si>
  <si>
    <t>生産実績基本マスタ－工程別－工程履歴－発生内訳</t>
    <phoneticPr fontId="1"/>
  </si>
  <si>
    <t>PRODUCTION_BASIC_PROCESS_MASTER_HISTORY</t>
    <phoneticPr fontId="1"/>
  </si>
  <si>
    <t>SOI_CATEGORY_OPERATION_ANOMALY</t>
    <phoneticPr fontId="1"/>
  </si>
  <si>
    <t>【標準指示】カテゴリ－稼動異常</t>
    <phoneticPr fontId="1"/>
  </si>
  <si>
    <t>稼動実績基本マスタ－稼動パラメータ</t>
  </si>
  <si>
    <t>TableName</t>
    <phoneticPr fontId="1"/>
  </si>
  <si>
    <t>TableName</t>
    <phoneticPr fontId="1"/>
  </si>
  <si>
    <t>DisplayName</t>
    <phoneticPr fontId="1"/>
  </si>
  <si>
    <t>T_TraceabilitySchedule</t>
  </si>
  <si>
    <t>T_ProductionResult</t>
  </si>
  <si>
    <t>T_ProductionResultManufacturesInventory</t>
  </si>
  <si>
    <t>T_ProductionResultProcessInventory</t>
  </si>
  <si>
    <t>T_ErrorHandlingResult</t>
  </si>
  <si>
    <t>T_ProductionResultConstractiveInventory</t>
  </si>
  <si>
    <t>T_CheckResult</t>
  </si>
  <si>
    <t>T_MeasuredResult</t>
  </si>
  <si>
    <t>T_FacilityOperationResultInventory</t>
  </si>
  <si>
    <t>T_FacilityCheckResult</t>
  </si>
  <si>
    <t>T_TraceabilitySchedule</t>
    <phoneticPr fontId="1"/>
  </si>
  <si>
    <t>トレーサビリティ計画</t>
  </si>
  <si>
    <t>T_ProductionResult</t>
    <phoneticPr fontId="1"/>
  </si>
  <si>
    <t>生産実績</t>
  </si>
  <si>
    <t>T_ProductionResultManufacturesInventory</t>
    <phoneticPr fontId="1"/>
  </si>
  <si>
    <t>生産実績製品明細</t>
  </si>
  <si>
    <t>T_ProductionResultProcessInventory</t>
    <phoneticPr fontId="1"/>
  </si>
  <si>
    <t>生産実績工程明細</t>
  </si>
  <si>
    <t>T_ErrorHandlingResult</t>
    <phoneticPr fontId="1"/>
  </si>
  <si>
    <t>異常・対応実績</t>
  </si>
  <si>
    <t>T_ProductionResultConstractiveInventory</t>
    <phoneticPr fontId="1"/>
  </si>
  <si>
    <t>生産実績構成明細</t>
  </si>
  <si>
    <t>T_CheckResult</t>
    <phoneticPr fontId="1"/>
  </si>
  <si>
    <t>検査実績</t>
    <phoneticPr fontId="1"/>
  </si>
  <si>
    <t>T_MeasuredResult</t>
    <phoneticPr fontId="1"/>
  </si>
  <si>
    <t>測定実績</t>
    <phoneticPr fontId="1"/>
  </si>
  <si>
    <t>T_TraceabilityResult</t>
    <phoneticPr fontId="1"/>
  </si>
  <si>
    <t>トレーサビリティ実績</t>
  </si>
  <si>
    <t>T_FacilityOperationResult</t>
    <phoneticPr fontId="1"/>
  </si>
  <si>
    <t>設備稼働実績</t>
  </si>
  <si>
    <t>設備稼働実績明細</t>
  </si>
  <si>
    <t>T_FacilityCheckResult</t>
    <phoneticPr fontId="1"/>
  </si>
  <si>
    <t>設備点検実績</t>
  </si>
  <si>
    <t>T_ErrorHandlingResult</t>
    <phoneticPr fontId="1"/>
  </si>
  <si>
    <t>T_ProductionSchedule</t>
    <phoneticPr fontId="1"/>
  </si>
  <si>
    <t>生産実績</t>
    <phoneticPr fontId="1"/>
  </si>
  <si>
    <t>稼働(設備)計画</t>
    <phoneticPr fontId="1"/>
  </si>
  <si>
    <t>T_FacilityOperationResult</t>
    <phoneticPr fontId="1"/>
  </si>
  <si>
    <t xml:space="preserve">稼働(設備)実績 </t>
  </si>
  <si>
    <t>T_FacilityCapabilityInventory</t>
  </si>
  <si>
    <t>T_FacilityCapabilityInventory</t>
    <phoneticPr fontId="1"/>
  </si>
  <si>
    <t>設備能力明細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</si>
</sst>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11"/>
      <color theme="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2"/>
      <color rgb="FF0000FF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Border="1">
      <alignment vertical="center"/>
    </xf>
    <xf numFmtId="0" fontId="5" fillId="2" borderId="2" xfId="2" applyFont="1" applyBorder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</cellXfs>
  <cellStyles count="3">
    <cellStyle name="アクセント 1" xfId="2" builtinId="29"/>
    <cellStyle name="標準" xfId="0" builtinId="0"/>
    <cellStyle name="標準 2 2" xfId="1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6</xdr:col>
          <xdr:colOff>647700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6</xdr:col>
          <xdr:colOff>609600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データ正規化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SOURCE_PRODUCTION_TABLELIST" displayName="SOURCE_PRODUCTION_TABLELIST" ref="A1:E256" totalsRowShown="0">
  <autoFilter ref="A1:E256"/>
  <tableColumns count="5">
    <tableColumn id="1" name="No"/>
    <tableColumn id="2" name="カテゴリ"/>
    <tableColumn id="3" name="テーブル名" dataDxfId="5">
      <calculatedColumnFormula>IF(ISNA( VLOOKUP(D2,旧テーブル一覧!$A$2:$B$313,2,FALSE)),"",VLOOKUP(D2,旧テーブル一覧!$A$2:$B$313,2,FALSE))</calculatedColumnFormula>
    </tableColumn>
    <tableColumn id="4" name="物理名"/>
    <tableColumn id="5" name="シート名" dataDxfId="4">
      <calculatedColumnFormula>SOURCE_PRODUCTION_TABLELIST[[#This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RODUCTION_TABLELIST" displayName="PRODUCTION_TABLELIST" ref="A1:E254" totalsRowShown="0">
  <autoFilter ref="A1:E254"/>
  <tableColumns count="5">
    <tableColumn id="1" name="No"/>
    <tableColumn id="2" name="カテゴリ"/>
    <tableColumn id="3" name="テーブル名"/>
    <tableColumn id="4" name="物理名"/>
    <tableColumn id="5" name="シート名" dataDxfId="3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OURCE_OPERATION_TABLELIST" displayName="SOURCE_OPERATION_TABLELIST" ref="A1:E251" totalsRowShown="0">
  <autoFilter ref="A1:E251"/>
  <tableColumns count="5">
    <tableColumn id="1" name="No"/>
    <tableColumn id="2" name="カテゴリ"/>
    <tableColumn id="3" name="テーブル名" dataDxfId="2">
      <calculatedColumnFormula>IF(ISNA( VLOOKUP(D2,旧テーブル一覧!$A$2:$B$313,2,FALSE)),"",VLOOKUP(D2,旧テーブル一覧!$A$2:$B$313,2,FALSE))</calculatedColumnFormula>
    </tableColumn>
    <tableColumn id="4" name="物理名"/>
    <tableColumn id="5" name="シート名" dataDxfId="1">
      <calculatedColumnFormula>SOURCE_OPERATION_TABLELIST[[#This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OPERATION_TABLELIST" displayName="OPERATION_TABLELIST" ref="A1:E100" totalsRowShown="0">
  <autoFilter ref="A1:E100"/>
  <tableColumns count="5">
    <tableColumn id="1" name="No"/>
    <tableColumn id="2" name="カテゴリ"/>
    <tableColumn id="3" name="テーブル名">
      <calculatedColumnFormula>IF(ISNA( VLOOKUP(D2,テーブル一覧!$A$2:$B$313,2,FALSE)),"",VLOOKUP(D2,テーブル一覧!$A$2:$B$313,2,FALSE))</calculatedColumnFormula>
    </tableColumn>
    <tableColumn id="4" name="物理名"/>
    <tableColumn id="5" name="シート名" dataDxfId="0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Index" displayName="TableIndex" ref="A1:B313" totalsRowShown="0">
  <autoFilter ref="A1:B313"/>
  <tableColumns count="2">
    <tableColumn id="1" name="TableName"/>
    <tableColumn id="2" name="Display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OldTableIndex" displayName="OldTableIndex" ref="A1:B63" totalsRowShown="0">
  <autoFilter ref="A1:B63"/>
  <tableColumns count="2">
    <tableColumn id="1" name="TableName"/>
    <tableColumn id="2" name="Display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6"/>
  <sheetViews>
    <sheetView workbookViewId="0">
      <selection activeCell="C38" sqref="C38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191</v>
      </c>
      <c r="C2" t="str">
        <f>IF(ISNA( VLOOKUP(D2,旧テーブル一覧!$A$2:$B$313,2,FALSE)),"",VLOOKUP(D2,旧テーブル一覧!$A$2:$B$313,2,FALSE))</f>
        <v>生産計画</v>
      </c>
      <c r="D2" s="1" t="s">
        <v>711</v>
      </c>
      <c r="E2" t="str">
        <f>CONCATENATE( SOURCE_PRODUCTION_TABLELIST[[#This Row],[テーブル名]],"(移行先)")</f>
        <v>生産計画(移行先)</v>
      </c>
    </row>
    <row r="3" spans="1:5" x14ac:dyDescent="0.15">
      <c r="A3">
        <f t="shared" ref="A3:A11" si="0">ROW()-1</f>
        <v>2</v>
      </c>
      <c r="B3" t="s">
        <v>191</v>
      </c>
      <c r="C3" t="str">
        <f>IF(ISNA( VLOOKUP(D3,旧テーブル一覧!$A$2:$B$313,2,FALSE)),"",VLOOKUP(D3,旧テーブル一覧!$A$2:$B$313,2,FALSE))</f>
        <v>トレーサビリティ計画</v>
      </c>
      <c r="D3" s="1" t="s">
        <v>677</v>
      </c>
      <c r="E3" t="str">
        <f>CONCATENATE( SOURCE_PRODUCTION_TABLELIST[[#This Row],[テーブル名]],"(移行先)")</f>
        <v>トレーサビリティ計画(移行先)</v>
      </c>
    </row>
    <row r="4" spans="1:5" x14ac:dyDescent="0.15">
      <c r="A4">
        <f t="shared" si="0"/>
        <v>3</v>
      </c>
      <c r="B4" t="s">
        <v>712</v>
      </c>
      <c r="C4" t="str">
        <f>IF(ISNA( VLOOKUP(D4,旧テーブル一覧!$A$2:$B$313,2,FALSE)),"",VLOOKUP(D4,旧テーブル一覧!$A$2:$B$313,2,FALSE))</f>
        <v>生産実績</v>
      </c>
      <c r="D4" s="1" t="s">
        <v>678</v>
      </c>
      <c r="E4" t="str">
        <f>CONCATENATE( SOURCE_PRODUCTION_TABLELIST[[#This Row],[テーブル名]],"(移行先)")</f>
        <v>生産実績(移行先)</v>
      </c>
    </row>
    <row r="5" spans="1:5" x14ac:dyDescent="0.15">
      <c r="A5">
        <f t="shared" si="0"/>
        <v>4</v>
      </c>
      <c r="B5" t="s">
        <v>712</v>
      </c>
      <c r="C5" t="str">
        <f>IF(ISNA( VLOOKUP(D5,旧テーブル一覧!$A$2:$B$313,2,FALSE)),"",VLOOKUP(D5,旧テーブル一覧!$A$2:$B$313,2,FALSE))</f>
        <v>生産実績製品明細</v>
      </c>
      <c r="D5" s="1" t="s">
        <v>679</v>
      </c>
      <c r="E5" t="str">
        <f>CONCATENATE( SOURCE_PRODUCTION_TABLELIST[[#This Row],[テーブル名]],"(移行先)")</f>
        <v>生産実績製品明細(移行先)</v>
      </c>
    </row>
    <row r="6" spans="1:5" x14ac:dyDescent="0.15">
      <c r="A6">
        <f t="shared" si="0"/>
        <v>5</v>
      </c>
      <c r="B6" t="s">
        <v>712</v>
      </c>
      <c r="C6" t="str">
        <f>IF(ISNA( VLOOKUP(D6,旧テーブル一覧!$A$2:$B$313,2,FALSE)),"",VLOOKUP(D6,旧テーブル一覧!$A$2:$B$313,2,FALSE))</f>
        <v>生産実績工程明細</v>
      </c>
      <c r="D6" s="1" t="s">
        <v>680</v>
      </c>
      <c r="E6" t="str">
        <f>CONCATENATE( SOURCE_PRODUCTION_TABLELIST[[#This Row],[テーブル名]],"(移行先)")</f>
        <v>生産実績工程明細(移行先)</v>
      </c>
    </row>
    <row r="7" spans="1:5" x14ac:dyDescent="0.15">
      <c r="A7">
        <f t="shared" si="0"/>
        <v>6</v>
      </c>
      <c r="B7" t="s">
        <v>712</v>
      </c>
      <c r="C7" t="str">
        <f>IF(ISNA( VLOOKUP(D7,旧テーブル一覧!$A$2:$B$313,2,FALSE)),"",VLOOKUP(D7,旧テーブル一覧!$A$2:$B$313,2,FALSE))</f>
        <v>異常・対応実績</v>
      </c>
      <c r="D7" s="1" t="s">
        <v>681</v>
      </c>
      <c r="E7" t="str">
        <f>CONCATENATE( SOURCE_PRODUCTION_TABLELIST[[#This Row],[テーブル名]],"(移行先)")</f>
        <v>異常・対応実績(移行先)</v>
      </c>
    </row>
    <row r="8" spans="1:5" x14ac:dyDescent="0.15">
      <c r="A8">
        <f t="shared" si="0"/>
        <v>7</v>
      </c>
      <c r="B8" t="s">
        <v>712</v>
      </c>
      <c r="C8" t="str">
        <f>IF(ISNA( VLOOKUP(D8,旧テーブル一覧!$A$2:$B$313,2,FALSE)),"",VLOOKUP(D8,旧テーブル一覧!$A$2:$B$313,2,FALSE))</f>
        <v>生産実績構成明細</v>
      </c>
      <c r="D8" s="1" t="s">
        <v>682</v>
      </c>
      <c r="E8" t="str">
        <f>CONCATENATE( SOURCE_PRODUCTION_TABLELIST[[#This Row],[テーブル名]],"(移行先)")</f>
        <v>生産実績構成明細(移行先)</v>
      </c>
    </row>
    <row r="9" spans="1:5" x14ac:dyDescent="0.15">
      <c r="A9">
        <f t="shared" si="0"/>
        <v>8</v>
      </c>
      <c r="B9" t="s">
        <v>712</v>
      </c>
      <c r="C9" t="str">
        <f>IF(ISNA( VLOOKUP(D9,旧テーブル一覧!$A$2:$B$313,2,FALSE)),"",VLOOKUP(D9,旧テーブル一覧!$A$2:$B$313,2,FALSE))</f>
        <v>検査実績</v>
      </c>
      <c r="D9" s="1" t="s">
        <v>683</v>
      </c>
      <c r="E9" t="str">
        <f>CONCATENATE( SOURCE_PRODUCTION_TABLELIST[[#This Row],[テーブル名]],"(移行先)")</f>
        <v>検査実績(移行先)</v>
      </c>
    </row>
    <row r="10" spans="1:5" x14ac:dyDescent="0.15">
      <c r="A10">
        <f t="shared" si="0"/>
        <v>9</v>
      </c>
      <c r="B10" t="s">
        <v>712</v>
      </c>
      <c r="C10" t="str">
        <f>IF(ISNA( VLOOKUP(D10,旧テーブル一覧!$A$2:$B$313,2,FALSE)),"",VLOOKUP(D10,旧テーブル一覧!$A$2:$B$313,2,FALSE))</f>
        <v>測定実績</v>
      </c>
      <c r="D10" s="1" t="s">
        <v>684</v>
      </c>
      <c r="E10" t="str">
        <f>CONCATENATE( SOURCE_PRODUCTION_TABLELIST[[#This Row],[テーブル名]],"(移行先)")</f>
        <v>測定実績(移行先)</v>
      </c>
    </row>
    <row r="11" spans="1:5" x14ac:dyDescent="0.15">
      <c r="A11">
        <f t="shared" si="0"/>
        <v>10</v>
      </c>
      <c r="B11" t="s">
        <v>712</v>
      </c>
      <c r="C11" t="str">
        <f>IF(ISNA( VLOOKUP(D11,旧テーブル一覧!$A$2:$B$313,2,FALSE)),"",VLOOKUP(D11,旧テーブル一覧!$A$2:$B$313,2,FALSE))</f>
        <v>トレーサビリティ実績</v>
      </c>
      <c r="D11" s="1" t="s">
        <v>703</v>
      </c>
      <c r="E11" t="str">
        <f>CONCATENATE( SOURCE_PRODUCTION_TABLELIST[[#This Row],[テーブル名]],"(移行先)")</f>
        <v>トレーサビリティ実績(移行先)</v>
      </c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4:4" x14ac:dyDescent="0.15">
      <c r="D33" s="1"/>
    </row>
    <row r="34" spans="4:4" x14ac:dyDescent="0.15">
      <c r="D34" s="1"/>
    </row>
    <row r="35" spans="4:4" x14ac:dyDescent="0.15">
      <c r="D35" s="1"/>
    </row>
    <row r="36" spans="4:4" x14ac:dyDescent="0.15">
      <c r="D36" s="1"/>
    </row>
    <row r="37" spans="4:4" x14ac:dyDescent="0.15">
      <c r="D37" s="1"/>
    </row>
    <row r="38" spans="4:4" x14ac:dyDescent="0.15">
      <c r="D38" s="1"/>
    </row>
    <row r="39" spans="4:4" x14ac:dyDescent="0.15">
      <c r="D39" s="1"/>
    </row>
    <row r="40" spans="4:4" x14ac:dyDescent="0.15">
      <c r="D40" s="1"/>
    </row>
    <row r="41" spans="4:4" x14ac:dyDescent="0.15">
      <c r="D41" s="1"/>
    </row>
    <row r="42" spans="4:4" x14ac:dyDescent="0.15">
      <c r="D42" s="1"/>
    </row>
    <row r="43" spans="4:4" x14ac:dyDescent="0.15">
      <c r="D43" s="1"/>
    </row>
    <row r="44" spans="4:4" x14ac:dyDescent="0.15">
      <c r="D44" s="1"/>
    </row>
    <row r="45" spans="4:4" x14ac:dyDescent="0.15">
      <c r="D45" s="1"/>
    </row>
    <row r="46" spans="4:4" x14ac:dyDescent="0.15">
      <c r="D46" s="1"/>
    </row>
    <row r="47" spans="4:4" x14ac:dyDescent="0.15">
      <c r="D47" s="1"/>
    </row>
    <row r="48" spans="4:4" x14ac:dyDescent="0.15">
      <c r="D48" s="1"/>
    </row>
    <row r="49" spans="3:4" x14ac:dyDescent="0.15">
      <c r="D49" s="1"/>
    </row>
    <row r="50" spans="3:4" x14ac:dyDescent="0.15">
      <c r="C50" t="str">
        <f>IF(ISNA( VLOOKUP(D50,旧テーブル一覧!$A$2:$B$313,2,FALSE)),"",VLOOKUP(D50,旧テーブル一覧!$A$2:$B$313,2,FALSE))</f>
        <v/>
      </c>
      <c r="D50" s="1"/>
    </row>
    <row r="51" spans="3:4" x14ac:dyDescent="0.15">
      <c r="C51" t="str">
        <f>IF(ISNA( VLOOKUP(D51,旧テーブル一覧!$A$2:$B$313,2,FALSE)),"",VLOOKUP(D51,旧テーブル一覧!$A$2:$B$313,2,FALSE))</f>
        <v/>
      </c>
      <c r="D51" s="1"/>
    </row>
    <row r="52" spans="3:4" x14ac:dyDescent="0.15">
      <c r="C52" t="str">
        <f>IF(ISNA( VLOOKUP(D52,旧テーブル一覧!$A$2:$B$313,2,FALSE)),"",VLOOKUP(D52,旧テーブル一覧!$A$2:$B$313,2,FALSE))</f>
        <v/>
      </c>
      <c r="D52" s="1"/>
    </row>
    <row r="53" spans="3:4" x14ac:dyDescent="0.15">
      <c r="C53" t="str">
        <f>IF(ISNA( VLOOKUP(D53,旧テーブル一覧!$A$2:$B$313,2,FALSE)),"",VLOOKUP(D53,旧テーブル一覧!$A$2:$B$313,2,FALSE))</f>
        <v/>
      </c>
      <c r="D53" s="1"/>
    </row>
    <row r="54" spans="3:4" x14ac:dyDescent="0.15">
      <c r="C54" t="str">
        <f>IF(ISNA( VLOOKUP(D54,旧テーブル一覧!$A$2:$B$313,2,FALSE)),"",VLOOKUP(D54,旧テーブル一覧!$A$2:$B$313,2,FALSE))</f>
        <v/>
      </c>
      <c r="D54" s="1"/>
    </row>
    <row r="55" spans="3:4" x14ac:dyDescent="0.15">
      <c r="C55" t="str">
        <f>IF(ISNA( VLOOKUP(D55,旧テーブル一覧!$A$2:$B$313,2,FALSE)),"",VLOOKUP(D55,旧テーブル一覧!$A$2:$B$313,2,FALSE))</f>
        <v/>
      </c>
      <c r="D55" s="1"/>
    </row>
    <row r="56" spans="3:4" x14ac:dyDescent="0.15">
      <c r="C56" t="str">
        <f>IF(ISNA( VLOOKUP(D56,旧テーブル一覧!$A$2:$B$313,2,FALSE)),"",VLOOKUP(D56,旧テーブル一覧!$A$2:$B$313,2,FALSE))</f>
        <v/>
      </c>
      <c r="D56" s="1"/>
    </row>
    <row r="57" spans="3:4" x14ac:dyDescent="0.15">
      <c r="C57" t="str">
        <f>IF(ISNA( VLOOKUP(D57,旧テーブル一覧!$A$2:$B$313,2,FALSE)),"",VLOOKUP(D57,旧テーブル一覧!$A$2:$B$313,2,FALSE))</f>
        <v/>
      </c>
      <c r="D57" s="1"/>
    </row>
    <row r="58" spans="3:4" x14ac:dyDescent="0.15">
      <c r="C58" t="str">
        <f>IF(ISNA( VLOOKUP(D58,旧テーブル一覧!$A$2:$B$313,2,FALSE)),"",VLOOKUP(D58,旧テーブル一覧!$A$2:$B$313,2,FALSE))</f>
        <v/>
      </c>
      <c r="D58" s="1"/>
    </row>
    <row r="59" spans="3:4" x14ac:dyDescent="0.15">
      <c r="C59" t="str">
        <f>IF(ISNA( VLOOKUP(D59,旧テーブル一覧!$A$2:$B$313,2,FALSE)),"",VLOOKUP(D59,旧テーブル一覧!$A$2:$B$313,2,FALSE))</f>
        <v/>
      </c>
      <c r="D59" s="1"/>
    </row>
    <row r="60" spans="3:4" x14ac:dyDescent="0.15">
      <c r="C60" t="str">
        <f>IF(ISNA( VLOOKUP(D60,旧テーブル一覧!$A$2:$B$313,2,FALSE)),"",VLOOKUP(D60,旧テーブル一覧!$A$2:$B$313,2,FALSE))</f>
        <v/>
      </c>
      <c r="D60" s="1"/>
    </row>
    <row r="61" spans="3:4" x14ac:dyDescent="0.15">
      <c r="C61" t="str">
        <f>IF(ISNA( VLOOKUP(D61,旧テーブル一覧!$A$2:$B$313,2,FALSE)),"",VLOOKUP(D61,旧テーブル一覧!$A$2:$B$313,2,FALSE))</f>
        <v/>
      </c>
      <c r="D61" s="1"/>
    </row>
    <row r="62" spans="3:4" x14ac:dyDescent="0.15">
      <c r="C62" t="str">
        <f>IF(ISNA( VLOOKUP(D62,旧テーブル一覧!$A$2:$B$313,2,FALSE)),"",VLOOKUP(D62,旧テーブル一覧!$A$2:$B$313,2,FALSE))</f>
        <v/>
      </c>
      <c r="D62" s="1"/>
    </row>
    <row r="63" spans="3:4" x14ac:dyDescent="0.15">
      <c r="C63" t="str">
        <f>IF(ISNA( VLOOKUP(D63,旧テーブル一覧!$A$2:$B$313,2,FALSE)),"",VLOOKUP(D63,旧テーブル一覧!$A$2:$B$313,2,FALSE))</f>
        <v/>
      </c>
      <c r="D63" s="1"/>
    </row>
    <row r="64" spans="3:4" x14ac:dyDescent="0.15">
      <c r="C64" t="str">
        <f>IF(ISNA( VLOOKUP(D64,旧テーブル一覧!$A$2:$B$313,2,FALSE)),"",VLOOKUP(D64,旧テーブル一覧!$A$2:$B$313,2,FALSE))</f>
        <v/>
      </c>
      <c r="D64" s="1"/>
    </row>
    <row r="65" spans="3:4" x14ac:dyDescent="0.15">
      <c r="C65" t="str">
        <f>IF(ISNA( VLOOKUP(D65,旧テーブル一覧!$A$2:$B$313,2,FALSE)),"",VLOOKUP(D65,旧テーブル一覧!$A$2:$B$313,2,FALSE))</f>
        <v/>
      </c>
      <c r="D65" s="1"/>
    </row>
    <row r="66" spans="3:4" x14ac:dyDescent="0.15">
      <c r="C66" t="str">
        <f>IF(ISNA( VLOOKUP(D66,旧テーブル一覧!$A$2:$B$313,2,FALSE)),"",VLOOKUP(D66,旧テーブル一覧!$A$2:$B$313,2,FALSE))</f>
        <v/>
      </c>
      <c r="D66" s="1"/>
    </row>
    <row r="67" spans="3:4" x14ac:dyDescent="0.15">
      <c r="C67" t="str">
        <f>IF(ISNA( VLOOKUP(D67,旧テーブル一覧!$A$2:$B$313,2,FALSE)),"",VLOOKUP(D67,旧テーブル一覧!$A$2:$B$313,2,FALSE))</f>
        <v/>
      </c>
      <c r="D67" s="1"/>
    </row>
    <row r="68" spans="3:4" x14ac:dyDescent="0.15">
      <c r="C68" t="str">
        <f>IF(ISNA( VLOOKUP(D68,旧テーブル一覧!$A$2:$B$313,2,FALSE)),"",VLOOKUP(D68,旧テーブル一覧!$A$2:$B$313,2,FALSE))</f>
        <v/>
      </c>
      <c r="D68" s="1"/>
    </row>
    <row r="69" spans="3:4" x14ac:dyDescent="0.15">
      <c r="C69" t="str">
        <f>IF(ISNA( VLOOKUP(D69,旧テーブル一覧!$A$2:$B$313,2,FALSE)),"",VLOOKUP(D69,旧テーブル一覧!$A$2:$B$313,2,FALSE))</f>
        <v/>
      </c>
      <c r="D69" s="1"/>
    </row>
    <row r="70" spans="3:4" x14ac:dyDescent="0.15">
      <c r="C70" t="str">
        <f>IF(ISNA( VLOOKUP(D70,旧テーブル一覧!$A$2:$B$313,2,FALSE)),"",VLOOKUP(D70,旧テーブル一覧!$A$2:$B$313,2,FALSE))</f>
        <v/>
      </c>
      <c r="D70" s="1"/>
    </row>
    <row r="71" spans="3:4" x14ac:dyDescent="0.15">
      <c r="C71" t="str">
        <f>IF(ISNA( VLOOKUP(D71,旧テーブル一覧!$A$2:$B$313,2,FALSE)),"",VLOOKUP(D71,旧テーブル一覧!$A$2:$B$313,2,FALSE))</f>
        <v/>
      </c>
      <c r="D71" s="1"/>
    </row>
    <row r="72" spans="3:4" x14ac:dyDescent="0.15">
      <c r="C72" t="str">
        <f>IF(ISNA( VLOOKUP(D72,旧テーブル一覧!$A$2:$B$313,2,FALSE)),"",VLOOKUP(D72,旧テーブル一覧!$A$2:$B$313,2,FALSE))</f>
        <v/>
      </c>
      <c r="D72" s="1"/>
    </row>
    <row r="73" spans="3:4" x14ac:dyDescent="0.15">
      <c r="C73" t="str">
        <f>IF(ISNA( VLOOKUP(D73,旧テーブル一覧!$A$2:$B$313,2,FALSE)),"",VLOOKUP(D73,旧テーブル一覧!$A$2:$B$313,2,FALSE))</f>
        <v/>
      </c>
      <c r="D73" s="1"/>
    </row>
    <row r="74" spans="3:4" x14ac:dyDescent="0.15">
      <c r="C74" t="str">
        <f>IF(ISNA( VLOOKUP(D74,旧テーブル一覧!$A$2:$B$313,2,FALSE)),"",VLOOKUP(D74,旧テーブル一覧!$A$2:$B$313,2,FALSE))</f>
        <v/>
      </c>
      <c r="D74" s="1"/>
    </row>
    <row r="75" spans="3:4" x14ac:dyDescent="0.15">
      <c r="C75" t="str">
        <f>IF(ISNA( VLOOKUP(D75,旧テーブル一覧!$A$2:$B$313,2,FALSE)),"",VLOOKUP(D75,旧テーブル一覧!$A$2:$B$313,2,FALSE))</f>
        <v/>
      </c>
      <c r="D75" s="1"/>
    </row>
    <row r="76" spans="3:4" x14ac:dyDescent="0.15">
      <c r="C76" t="str">
        <f>IF(ISNA( VLOOKUP(D76,旧テーブル一覧!$A$2:$B$313,2,FALSE)),"",VLOOKUP(D76,旧テーブル一覧!$A$2:$B$313,2,FALSE))</f>
        <v/>
      </c>
      <c r="D76" s="1"/>
    </row>
    <row r="77" spans="3:4" x14ac:dyDescent="0.15">
      <c r="C77" t="str">
        <f>IF(ISNA( VLOOKUP(D77,旧テーブル一覧!$A$2:$B$313,2,FALSE)),"",VLOOKUP(D77,旧テーブル一覧!$A$2:$B$313,2,FALSE))</f>
        <v/>
      </c>
    </row>
    <row r="78" spans="3:4" x14ac:dyDescent="0.15">
      <c r="C78" t="str">
        <f>IF(ISNA( VLOOKUP(D78,旧テーブル一覧!$A$2:$B$313,2,FALSE)),"",VLOOKUP(D78,旧テーブル一覧!$A$2:$B$313,2,FALSE))</f>
        <v/>
      </c>
    </row>
    <row r="79" spans="3:4" x14ac:dyDescent="0.15">
      <c r="C79" t="str">
        <f>IF(ISNA( VLOOKUP(D79,旧テーブル一覧!$A$2:$B$313,2,FALSE)),"",VLOOKUP(D79,旧テーブル一覧!$A$2:$B$313,2,FALSE))</f>
        <v/>
      </c>
    </row>
    <row r="80" spans="3:4" x14ac:dyDescent="0.15">
      <c r="C80" t="str">
        <f>IF(ISNA( VLOOKUP(D80,旧テーブル一覧!$A$2:$B$313,2,FALSE)),"",VLOOKUP(D80,旧テーブル一覧!$A$2:$B$313,2,FALSE))</f>
        <v/>
      </c>
    </row>
    <row r="81" spans="3:3" x14ac:dyDescent="0.15">
      <c r="C81" t="str">
        <f>IF(ISNA( VLOOKUP(D81,旧テーブル一覧!$A$2:$B$313,2,FALSE)),"",VLOOKUP(D81,旧テーブル一覧!$A$2:$B$313,2,FALSE))</f>
        <v/>
      </c>
    </row>
    <row r="82" spans="3:3" x14ac:dyDescent="0.15">
      <c r="C82" t="str">
        <f>IF(ISNA( VLOOKUP(D82,旧テーブル一覧!$A$2:$B$313,2,FALSE)),"",VLOOKUP(D82,旧テーブル一覧!$A$2:$B$313,2,FALSE))</f>
        <v/>
      </c>
    </row>
    <row r="83" spans="3:3" x14ac:dyDescent="0.15">
      <c r="C83" t="str">
        <f>IF(ISNA( VLOOKUP(D83,旧テーブル一覧!$A$2:$B$313,2,FALSE)),"",VLOOKUP(D83,旧テーブル一覧!$A$2:$B$313,2,FALSE))</f>
        <v/>
      </c>
    </row>
    <row r="84" spans="3:3" x14ac:dyDescent="0.15">
      <c r="C84" t="str">
        <f>IF(ISNA( VLOOKUP(D84,旧テーブル一覧!$A$2:$B$313,2,FALSE)),"",VLOOKUP(D84,旧テーブル一覧!$A$2:$B$313,2,FALSE))</f>
        <v/>
      </c>
    </row>
    <row r="85" spans="3:3" x14ac:dyDescent="0.15">
      <c r="C85" t="str">
        <f>IF(ISNA( VLOOKUP(D85,旧テーブル一覧!$A$2:$B$313,2,FALSE)),"",VLOOKUP(D85,旧テーブル一覧!$A$2:$B$313,2,FALSE))</f>
        <v/>
      </c>
    </row>
    <row r="86" spans="3:3" x14ac:dyDescent="0.15">
      <c r="C86" t="str">
        <f>IF(ISNA( VLOOKUP(D86,旧テーブル一覧!$A$2:$B$313,2,FALSE)),"",VLOOKUP(D86,旧テーブル一覧!$A$2:$B$313,2,FALSE))</f>
        <v/>
      </c>
    </row>
    <row r="87" spans="3:3" x14ac:dyDescent="0.15">
      <c r="C87" t="str">
        <f>IF(ISNA( VLOOKUP(D87,旧テーブル一覧!$A$2:$B$313,2,FALSE)),"",VLOOKUP(D87,旧テーブル一覧!$A$2:$B$313,2,FALSE))</f>
        <v/>
      </c>
    </row>
    <row r="88" spans="3:3" x14ac:dyDescent="0.15">
      <c r="C88" t="str">
        <f>IF(ISNA( VLOOKUP(D88,旧テーブル一覧!$A$2:$B$313,2,FALSE)),"",VLOOKUP(D88,旧テーブル一覧!$A$2:$B$313,2,FALSE))</f>
        <v/>
      </c>
    </row>
    <row r="89" spans="3:3" x14ac:dyDescent="0.15">
      <c r="C89" t="str">
        <f>IF(ISNA( VLOOKUP(D89,旧テーブル一覧!$A$2:$B$313,2,FALSE)),"",VLOOKUP(D89,旧テーブル一覧!$A$2:$B$313,2,FALSE))</f>
        <v/>
      </c>
    </row>
    <row r="90" spans="3:3" x14ac:dyDescent="0.15">
      <c r="C90" t="str">
        <f>IF(ISNA( VLOOKUP(D90,旧テーブル一覧!$A$2:$B$313,2,FALSE)),"",VLOOKUP(D90,旧テーブル一覧!$A$2:$B$313,2,FALSE))</f>
        <v/>
      </c>
    </row>
    <row r="91" spans="3:3" x14ac:dyDescent="0.15">
      <c r="C91" t="str">
        <f>IF(ISNA( VLOOKUP(D91,旧テーブル一覧!$A$2:$B$313,2,FALSE)),"",VLOOKUP(D91,旧テーブル一覧!$A$2:$B$313,2,FALSE))</f>
        <v/>
      </c>
    </row>
    <row r="92" spans="3:3" x14ac:dyDescent="0.15">
      <c r="C92" t="str">
        <f>IF(ISNA( VLOOKUP(D92,旧テーブル一覧!$A$2:$B$313,2,FALSE)),"",VLOOKUP(D92,旧テーブル一覧!$A$2:$B$313,2,FALSE))</f>
        <v/>
      </c>
    </row>
    <row r="93" spans="3:3" x14ac:dyDescent="0.15">
      <c r="C93" t="str">
        <f>IF(ISNA( VLOOKUP(D93,旧テーブル一覧!$A$2:$B$313,2,FALSE)),"",VLOOKUP(D93,旧テーブル一覧!$A$2:$B$313,2,FALSE))</f>
        <v/>
      </c>
    </row>
    <row r="94" spans="3:3" x14ac:dyDescent="0.15">
      <c r="C94" t="str">
        <f>IF(ISNA( VLOOKUP(D94,旧テーブル一覧!$A$2:$B$313,2,FALSE)),"",VLOOKUP(D94,旧テーブル一覧!$A$2:$B$313,2,FALSE))</f>
        <v/>
      </c>
    </row>
    <row r="95" spans="3:3" x14ac:dyDescent="0.15">
      <c r="C95" t="str">
        <f>IF(ISNA( VLOOKUP(D95,旧テーブル一覧!$A$2:$B$313,2,FALSE)),"",VLOOKUP(D95,旧テーブル一覧!$A$2:$B$313,2,FALSE))</f>
        <v/>
      </c>
    </row>
    <row r="96" spans="3:3" x14ac:dyDescent="0.15">
      <c r="C96" t="str">
        <f>IF(ISNA( VLOOKUP(D96,旧テーブル一覧!$A$2:$B$313,2,FALSE)),"",VLOOKUP(D96,旧テーブル一覧!$A$2:$B$313,2,FALSE))</f>
        <v/>
      </c>
    </row>
    <row r="97" spans="3:3" x14ac:dyDescent="0.15">
      <c r="C97" t="str">
        <f>IF(ISNA( VLOOKUP(D97,旧テーブル一覧!$A$2:$B$313,2,FALSE)),"",VLOOKUP(D97,旧テーブル一覧!$A$2:$B$313,2,FALSE))</f>
        <v/>
      </c>
    </row>
    <row r="98" spans="3:3" x14ac:dyDescent="0.15">
      <c r="C98" t="str">
        <f>IF(ISNA( VLOOKUP(D98,旧テーブル一覧!$A$2:$B$313,2,FALSE)),"",VLOOKUP(D98,旧テーブル一覧!$A$2:$B$313,2,FALSE))</f>
        <v/>
      </c>
    </row>
    <row r="99" spans="3:3" x14ac:dyDescent="0.15">
      <c r="C99" t="str">
        <f>IF(ISNA( VLOOKUP(D99,旧テーブル一覧!$A$2:$B$313,2,FALSE)),"",VLOOKUP(D99,旧テーブル一覧!$A$2:$B$313,2,FALSE))</f>
        <v/>
      </c>
    </row>
    <row r="100" spans="3:3" x14ac:dyDescent="0.15">
      <c r="C100" t="str">
        <f>IF(ISNA( VLOOKUP(D100,旧テーブル一覧!$A$2:$B$313,2,FALSE)),"",VLOOKUP(D100,旧テーブル一覧!$A$2:$B$313,2,FALSE))</f>
        <v/>
      </c>
    </row>
    <row r="101" spans="3:3" x14ac:dyDescent="0.15">
      <c r="C101" t="str">
        <f>IF(ISNA( VLOOKUP(D101,旧テーブル一覧!$A$2:$B$313,2,FALSE)),"",VLOOKUP(D101,旧テーブル一覧!$A$2:$B$313,2,FALSE))</f>
        <v/>
      </c>
    </row>
    <row r="102" spans="3:3" x14ac:dyDescent="0.15">
      <c r="C102" t="str">
        <f>IF(ISNA( VLOOKUP(D102,旧テーブル一覧!$A$2:$B$313,2,FALSE)),"",VLOOKUP(D102,旧テーブル一覧!$A$2:$B$313,2,FALSE))</f>
        <v/>
      </c>
    </row>
    <row r="103" spans="3:3" x14ac:dyDescent="0.15">
      <c r="C103" t="str">
        <f>IF(ISNA( VLOOKUP(D103,旧テーブル一覧!$A$2:$B$313,2,FALSE)),"",VLOOKUP(D103,旧テーブル一覧!$A$2:$B$313,2,FALSE))</f>
        <v/>
      </c>
    </row>
    <row r="104" spans="3:3" x14ac:dyDescent="0.15">
      <c r="C104" t="str">
        <f>IF(ISNA( VLOOKUP(D104,旧テーブル一覧!$A$2:$B$313,2,FALSE)),"",VLOOKUP(D104,旧テーブル一覧!$A$2:$B$313,2,FALSE))</f>
        <v/>
      </c>
    </row>
    <row r="105" spans="3:3" x14ac:dyDescent="0.15">
      <c r="C105" t="str">
        <f>IF(ISNA( VLOOKUP(D105,旧テーブル一覧!$A$2:$B$313,2,FALSE)),"",VLOOKUP(D105,旧テーブル一覧!$A$2:$B$313,2,FALSE))</f>
        <v/>
      </c>
    </row>
    <row r="106" spans="3:3" x14ac:dyDescent="0.15">
      <c r="C106" t="str">
        <f>IF(ISNA( VLOOKUP(D106,旧テーブル一覧!$A$2:$B$313,2,FALSE)),"",VLOOKUP(D106,旧テーブル一覧!$A$2:$B$313,2,FALSE))</f>
        <v/>
      </c>
    </row>
    <row r="107" spans="3:3" x14ac:dyDescent="0.15">
      <c r="C107" t="str">
        <f>IF(ISNA( VLOOKUP(D107,旧テーブル一覧!$A$2:$B$313,2,FALSE)),"",VLOOKUP(D107,旧テーブル一覧!$A$2:$B$313,2,FALSE))</f>
        <v/>
      </c>
    </row>
    <row r="108" spans="3:3" x14ac:dyDescent="0.15">
      <c r="C108" t="str">
        <f>IF(ISNA( VLOOKUP(D108,旧テーブル一覧!$A$2:$B$313,2,FALSE)),"",VLOOKUP(D108,旧テーブル一覧!$A$2:$B$313,2,FALSE))</f>
        <v/>
      </c>
    </row>
    <row r="109" spans="3:3" x14ac:dyDescent="0.15">
      <c r="C109" t="str">
        <f>IF(ISNA( VLOOKUP(D109,旧テーブル一覧!$A$2:$B$313,2,FALSE)),"",VLOOKUP(D109,旧テーブル一覧!$A$2:$B$313,2,FALSE))</f>
        <v/>
      </c>
    </row>
    <row r="110" spans="3:3" x14ac:dyDescent="0.15">
      <c r="C110" t="str">
        <f>IF(ISNA( VLOOKUP(D110,旧テーブル一覧!$A$2:$B$313,2,FALSE)),"",VLOOKUP(D110,旧テーブル一覧!$A$2:$B$313,2,FALSE))</f>
        <v/>
      </c>
    </row>
    <row r="111" spans="3:3" x14ac:dyDescent="0.15">
      <c r="C111" t="str">
        <f>IF(ISNA( VLOOKUP(D111,旧テーブル一覧!$A$2:$B$313,2,FALSE)),"",VLOOKUP(D111,旧テーブル一覧!$A$2:$B$313,2,FALSE))</f>
        <v/>
      </c>
    </row>
    <row r="112" spans="3:3" x14ac:dyDescent="0.15">
      <c r="C112" t="str">
        <f>IF(ISNA( VLOOKUP(D112,旧テーブル一覧!$A$2:$B$313,2,FALSE)),"",VLOOKUP(D112,旧テーブル一覧!$A$2:$B$313,2,FALSE))</f>
        <v/>
      </c>
    </row>
    <row r="113" spans="3:3" x14ac:dyDescent="0.15">
      <c r="C113" t="str">
        <f>IF(ISNA( VLOOKUP(D113,旧テーブル一覧!$A$2:$B$313,2,FALSE)),"",VLOOKUP(D113,旧テーブル一覧!$A$2:$B$313,2,FALSE))</f>
        <v/>
      </c>
    </row>
    <row r="114" spans="3:3" x14ac:dyDescent="0.15">
      <c r="C114" t="str">
        <f>IF(ISNA( VLOOKUP(D114,旧テーブル一覧!$A$2:$B$313,2,FALSE)),"",VLOOKUP(D114,旧テーブル一覧!$A$2:$B$313,2,FALSE))</f>
        <v/>
      </c>
    </row>
    <row r="115" spans="3:3" x14ac:dyDescent="0.15">
      <c r="C115" t="str">
        <f>IF(ISNA( VLOOKUP(D115,旧テーブル一覧!$A$2:$B$313,2,FALSE)),"",VLOOKUP(D115,旧テーブル一覧!$A$2:$B$313,2,FALSE))</f>
        <v/>
      </c>
    </row>
    <row r="116" spans="3:3" x14ac:dyDescent="0.15">
      <c r="C116" t="str">
        <f>IF(ISNA( VLOOKUP(D116,旧テーブル一覧!$A$2:$B$313,2,FALSE)),"",VLOOKUP(D116,旧テーブル一覧!$A$2:$B$313,2,FALSE))</f>
        <v/>
      </c>
    </row>
    <row r="117" spans="3:3" x14ac:dyDescent="0.15">
      <c r="C117" t="str">
        <f>IF(ISNA( VLOOKUP(D117,旧テーブル一覧!$A$2:$B$313,2,FALSE)),"",VLOOKUP(D117,旧テーブル一覧!$A$2:$B$313,2,FALSE))</f>
        <v/>
      </c>
    </row>
    <row r="118" spans="3:3" x14ac:dyDescent="0.15">
      <c r="C118" t="str">
        <f>IF(ISNA( VLOOKUP(D118,旧テーブル一覧!$A$2:$B$313,2,FALSE)),"",VLOOKUP(D118,旧テーブル一覧!$A$2:$B$313,2,FALSE))</f>
        <v/>
      </c>
    </row>
    <row r="119" spans="3:3" x14ac:dyDescent="0.15">
      <c r="C119" t="str">
        <f>IF(ISNA( VLOOKUP(D119,旧テーブル一覧!$A$2:$B$313,2,FALSE)),"",VLOOKUP(D119,旧テーブル一覧!$A$2:$B$313,2,FALSE))</f>
        <v/>
      </c>
    </row>
    <row r="120" spans="3:3" x14ac:dyDescent="0.15">
      <c r="C120" t="str">
        <f>IF(ISNA( VLOOKUP(D120,旧テーブル一覧!$A$2:$B$313,2,FALSE)),"",VLOOKUP(D120,旧テーブル一覧!$A$2:$B$313,2,FALSE))</f>
        <v/>
      </c>
    </row>
    <row r="121" spans="3:3" x14ac:dyDescent="0.15">
      <c r="C121" t="str">
        <f>IF(ISNA( VLOOKUP(D121,旧テーブル一覧!$A$2:$B$313,2,FALSE)),"",VLOOKUP(D121,旧テーブル一覧!$A$2:$B$313,2,FALSE))</f>
        <v/>
      </c>
    </row>
    <row r="122" spans="3:3" x14ac:dyDescent="0.15">
      <c r="C122" t="str">
        <f>IF(ISNA( VLOOKUP(D122,旧テーブル一覧!$A$2:$B$313,2,FALSE)),"",VLOOKUP(D122,旧テーブル一覧!$A$2:$B$313,2,FALSE))</f>
        <v/>
      </c>
    </row>
    <row r="123" spans="3:3" x14ac:dyDescent="0.15">
      <c r="C123" t="str">
        <f>IF(ISNA( VLOOKUP(D123,旧テーブル一覧!$A$2:$B$313,2,FALSE)),"",VLOOKUP(D123,旧テーブル一覧!$A$2:$B$313,2,FALSE))</f>
        <v/>
      </c>
    </row>
    <row r="124" spans="3:3" x14ac:dyDescent="0.15">
      <c r="C124" t="str">
        <f>IF(ISNA( VLOOKUP(D124,旧テーブル一覧!$A$2:$B$313,2,FALSE)),"",VLOOKUP(D124,旧テーブル一覧!$A$2:$B$313,2,FALSE))</f>
        <v/>
      </c>
    </row>
    <row r="125" spans="3:3" x14ac:dyDescent="0.15">
      <c r="C125" t="str">
        <f>IF(ISNA( VLOOKUP(D125,旧テーブル一覧!$A$2:$B$313,2,FALSE)),"",VLOOKUP(D125,旧テーブル一覧!$A$2:$B$313,2,FALSE))</f>
        <v/>
      </c>
    </row>
    <row r="126" spans="3:3" x14ac:dyDescent="0.15">
      <c r="C126" t="str">
        <f>IF(ISNA( VLOOKUP(D126,旧テーブル一覧!$A$2:$B$313,2,FALSE)),"",VLOOKUP(D126,旧テーブル一覧!$A$2:$B$313,2,FALSE))</f>
        <v/>
      </c>
    </row>
    <row r="127" spans="3:3" x14ac:dyDescent="0.15">
      <c r="C127" t="str">
        <f>IF(ISNA( VLOOKUP(D127,旧テーブル一覧!$A$2:$B$313,2,FALSE)),"",VLOOKUP(D127,旧テーブル一覧!$A$2:$B$313,2,FALSE))</f>
        <v/>
      </c>
    </row>
    <row r="128" spans="3:3" x14ac:dyDescent="0.15">
      <c r="C128" t="str">
        <f>IF(ISNA( VLOOKUP(D128,旧テーブル一覧!$A$2:$B$313,2,FALSE)),"",VLOOKUP(D128,旧テーブル一覧!$A$2:$B$313,2,FALSE))</f>
        <v/>
      </c>
    </row>
    <row r="129" spans="3:3" x14ac:dyDescent="0.15">
      <c r="C129" t="str">
        <f>IF(ISNA( VLOOKUP(D129,旧テーブル一覧!$A$2:$B$313,2,FALSE)),"",VLOOKUP(D129,旧テーブル一覧!$A$2:$B$313,2,FALSE))</f>
        <v/>
      </c>
    </row>
    <row r="130" spans="3:3" x14ac:dyDescent="0.15">
      <c r="C130" t="str">
        <f>IF(ISNA( VLOOKUP(D130,旧テーブル一覧!$A$2:$B$313,2,FALSE)),"",VLOOKUP(D130,旧テーブル一覧!$A$2:$B$313,2,FALSE))</f>
        <v/>
      </c>
    </row>
    <row r="131" spans="3:3" x14ac:dyDescent="0.15">
      <c r="C131" t="str">
        <f>IF(ISNA( VLOOKUP(D131,旧テーブル一覧!$A$2:$B$313,2,FALSE)),"",VLOOKUP(D131,旧テーブル一覧!$A$2:$B$313,2,FALSE))</f>
        <v/>
      </c>
    </row>
    <row r="132" spans="3:3" x14ac:dyDescent="0.15">
      <c r="C132" t="str">
        <f>IF(ISNA( VLOOKUP(D132,旧テーブル一覧!$A$2:$B$313,2,FALSE)),"",VLOOKUP(D132,旧テーブル一覧!$A$2:$B$313,2,FALSE))</f>
        <v/>
      </c>
    </row>
    <row r="133" spans="3:3" x14ac:dyDescent="0.15">
      <c r="C133" t="str">
        <f>IF(ISNA( VLOOKUP(D133,旧テーブル一覧!$A$2:$B$313,2,FALSE)),"",VLOOKUP(D133,旧テーブル一覧!$A$2:$B$313,2,FALSE))</f>
        <v/>
      </c>
    </row>
    <row r="134" spans="3:3" x14ac:dyDescent="0.15">
      <c r="C134" t="str">
        <f>IF(ISNA( VLOOKUP(D134,旧テーブル一覧!$A$2:$B$313,2,FALSE)),"",VLOOKUP(D134,旧テーブル一覧!$A$2:$B$313,2,FALSE))</f>
        <v/>
      </c>
    </row>
    <row r="135" spans="3:3" x14ac:dyDescent="0.15">
      <c r="C135" t="str">
        <f>IF(ISNA( VLOOKUP(D135,旧テーブル一覧!$A$2:$B$313,2,FALSE)),"",VLOOKUP(D135,旧テーブル一覧!$A$2:$B$313,2,FALSE))</f>
        <v/>
      </c>
    </row>
    <row r="136" spans="3:3" x14ac:dyDescent="0.15">
      <c r="C136" t="str">
        <f>IF(ISNA( VLOOKUP(D136,旧テーブル一覧!$A$2:$B$313,2,FALSE)),"",VLOOKUP(D136,旧テーブル一覧!$A$2:$B$313,2,FALSE))</f>
        <v/>
      </c>
    </row>
    <row r="137" spans="3:3" x14ac:dyDescent="0.15">
      <c r="C137" t="str">
        <f>IF(ISNA( VLOOKUP(D137,旧テーブル一覧!$A$2:$B$313,2,FALSE)),"",VLOOKUP(D137,旧テーブル一覧!$A$2:$B$313,2,FALSE))</f>
        <v/>
      </c>
    </row>
    <row r="138" spans="3:3" x14ac:dyDescent="0.15">
      <c r="C138" t="str">
        <f>IF(ISNA( VLOOKUP(D138,旧テーブル一覧!$A$2:$B$313,2,FALSE)),"",VLOOKUP(D138,旧テーブル一覧!$A$2:$B$313,2,FALSE))</f>
        <v/>
      </c>
    </row>
    <row r="139" spans="3:3" x14ac:dyDescent="0.15">
      <c r="C139" t="str">
        <f>IF(ISNA( VLOOKUP(D139,旧テーブル一覧!$A$2:$B$313,2,FALSE)),"",VLOOKUP(D139,旧テーブル一覧!$A$2:$B$313,2,FALSE))</f>
        <v/>
      </c>
    </row>
    <row r="140" spans="3:3" x14ac:dyDescent="0.15">
      <c r="C140" t="str">
        <f>IF(ISNA( VLOOKUP(D140,旧テーブル一覧!$A$2:$B$313,2,FALSE)),"",VLOOKUP(D140,旧テーブル一覧!$A$2:$B$313,2,FALSE))</f>
        <v/>
      </c>
    </row>
    <row r="141" spans="3:3" x14ac:dyDescent="0.15">
      <c r="C141" t="str">
        <f>IF(ISNA( VLOOKUP(D141,旧テーブル一覧!$A$2:$B$313,2,FALSE)),"",VLOOKUP(D141,旧テーブル一覧!$A$2:$B$313,2,FALSE))</f>
        <v/>
      </c>
    </row>
    <row r="142" spans="3:3" x14ac:dyDescent="0.15">
      <c r="C142" t="str">
        <f>IF(ISNA( VLOOKUP(D142,旧テーブル一覧!$A$2:$B$313,2,FALSE)),"",VLOOKUP(D142,旧テーブル一覧!$A$2:$B$313,2,FALSE))</f>
        <v/>
      </c>
    </row>
    <row r="143" spans="3:3" x14ac:dyDescent="0.15">
      <c r="C143" t="str">
        <f>IF(ISNA( VLOOKUP(D143,旧テーブル一覧!$A$2:$B$313,2,FALSE)),"",VLOOKUP(D143,旧テーブル一覧!$A$2:$B$313,2,FALSE))</f>
        <v/>
      </c>
    </row>
    <row r="144" spans="3:3" x14ac:dyDescent="0.15">
      <c r="C144" t="str">
        <f>IF(ISNA( VLOOKUP(D144,旧テーブル一覧!$A$2:$B$313,2,FALSE)),"",VLOOKUP(D144,旧テーブル一覧!$A$2:$B$313,2,FALSE))</f>
        <v/>
      </c>
    </row>
    <row r="145" spans="3:3" x14ac:dyDescent="0.15">
      <c r="C145" t="str">
        <f>IF(ISNA( VLOOKUP(D145,旧テーブル一覧!$A$2:$B$313,2,FALSE)),"",VLOOKUP(D145,旧テーブル一覧!$A$2:$B$313,2,FALSE))</f>
        <v/>
      </c>
    </row>
    <row r="146" spans="3:3" x14ac:dyDescent="0.15">
      <c r="C146" t="str">
        <f>IF(ISNA( VLOOKUP(D146,旧テーブル一覧!$A$2:$B$313,2,FALSE)),"",VLOOKUP(D146,旧テーブル一覧!$A$2:$B$313,2,FALSE))</f>
        <v/>
      </c>
    </row>
    <row r="147" spans="3:3" x14ac:dyDescent="0.15">
      <c r="C147" t="str">
        <f>IF(ISNA( VLOOKUP(D147,旧テーブル一覧!$A$2:$B$313,2,FALSE)),"",VLOOKUP(D147,旧テーブル一覧!$A$2:$B$313,2,FALSE))</f>
        <v/>
      </c>
    </row>
    <row r="148" spans="3:3" x14ac:dyDescent="0.15">
      <c r="C148" t="str">
        <f>IF(ISNA( VLOOKUP(D148,旧テーブル一覧!$A$2:$B$313,2,FALSE)),"",VLOOKUP(D148,旧テーブル一覧!$A$2:$B$313,2,FALSE))</f>
        <v/>
      </c>
    </row>
    <row r="149" spans="3:3" x14ac:dyDescent="0.15">
      <c r="C149" t="str">
        <f>IF(ISNA( VLOOKUP(D149,旧テーブル一覧!$A$2:$B$313,2,FALSE)),"",VLOOKUP(D149,旧テーブル一覧!$A$2:$B$313,2,FALSE))</f>
        <v/>
      </c>
    </row>
    <row r="150" spans="3:3" x14ac:dyDescent="0.15">
      <c r="C150" t="str">
        <f>IF(ISNA( VLOOKUP(D150,旧テーブル一覧!$A$2:$B$313,2,FALSE)),"",VLOOKUP(D150,旧テーブル一覧!$A$2:$B$313,2,FALSE))</f>
        <v/>
      </c>
    </row>
    <row r="151" spans="3:3" x14ac:dyDescent="0.15">
      <c r="C151" t="str">
        <f>IF(ISNA( VLOOKUP(D151,旧テーブル一覧!$A$2:$B$313,2,FALSE)),"",VLOOKUP(D151,旧テーブル一覧!$A$2:$B$313,2,FALSE))</f>
        <v/>
      </c>
    </row>
    <row r="152" spans="3:3" x14ac:dyDescent="0.15">
      <c r="C152" t="str">
        <f>IF(ISNA( VLOOKUP(D152,旧テーブル一覧!$A$2:$B$313,2,FALSE)),"",VLOOKUP(D152,旧テーブル一覧!$A$2:$B$313,2,FALSE))</f>
        <v/>
      </c>
    </row>
    <row r="153" spans="3:3" x14ac:dyDescent="0.15">
      <c r="C153" t="str">
        <f>IF(ISNA( VLOOKUP(D153,旧テーブル一覧!$A$2:$B$313,2,FALSE)),"",VLOOKUP(D153,旧テーブル一覧!$A$2:$B$313,2,FALSE))</f>
        <v/>
      </c>
    </row>
    <row r="154" spans="3:3" x14ac:dyDescent="0.15">
      <c r="C154" t="str">
        <f>IF(ISNA( VLOOKUP(D154,旧テーブル一覧!$A$2:$B$313,2,FALSE)),"",VLOOKUP(D154,旧テーブル一覧!$A$2:$B$313,2,FALSE))</f>
        <v/>
      </c>
    </row>
    <row r="155" spans="3:3" x14ac:dyDescent="0.15">
      <c r="C155" t="str">
        <f>IF(ISNA( VLOOKUP(D155,旧テーブル一覧!$A$2:$B$313,2,FALSE)),"",VLOOKUP(D155,旧テーブル一覧!$A$2:$B$313,2,FALSE))</f>
        <v/>
      </c>
    </row>
    <row r="156" spans="3:3" x14ac:dyDescent="0.15">
      <c r="C156" t="str">
        <f>IF(ISNA( VLOOKUP(D156,旧テーブル一覧!$A$2:$B$313,2,FALSE)),"",VLOOKUP(D156,旧テーブル一覧!$A$2:$B$313,2,FALSE))</f>
        <v/>
      </c>
    </row>
    <row r="157" spans="3:3" x14ac:dyDescent="0.15">
      <c r="C157" t="str">
        <f>IF(ISNA( VLOOKUP(D157,旧テーブル一覧!$A$2:$B$313,2,FALSE)),"",VLOOKUP(D157,旧テーブル一覧!$A$2:$B$313,2,FALSE))</f>
        <v/>
      </c>
    </row>
    <row r="158" spans="3:3" x14ac:dyDescent="0.15">
      <c r="C158" t="str">
        <f>IF(ISNA( VLOOKUP(D158,旧テーブル一覧!$A$2:$B$313,2,FALSE)),"",VLOOKUP(D158,旧テーブル一覧!$A$2:$B$313,2,FALSE))</f>
        <v/>
      </c>
    </row>
    <row r="159" spans="3:3" x14ac:dyDescent="0.15">
      <c r="C159" t="str">
        <f>IF(ISNA( VLOOKUP(D159,旧テーブル一覧!$A$2:$B$313,2,FALSE)),"",VLOOKUP(D159,旧テーブル一覧!$A$2:$B$313,2,FALSE))</f>
        <v/>
      </c>
    </row>
    <row r="160" spans="3:3" x14ac:dyDescent="0.15">
      <c r="C160" t="str">
        <f>IF(ISNA( VLOOKUP(D160,旧テーブル一覧!$A$2:$B$313,2,FALSE)),"",VLOOKUP(D160,旧テーブル一覧!$A$2:$B$313,2,FALSE))</f>
        <v/>
      </c>
    </row>
    <row r="161" spans="3:3" x14ac:dyDescent="0.15">
      <c r="C161" t="str">
        <f>IF(ISNA( VLOOKUP(D161,旧テーブル一覧!$A$2:$B$313,2,FALSE)),"",VLOOKUP(D161,旧テーブル一覧!$A$2:$B$313,2,FALSE))</f>
        <v/>
      </c>
    </row>
    <row r="162" spans="3:3" x14ac:dyDescent="0.15">
      <c r="C162" t="str">
        <f>IF(ISNA( VLOOKUP(D162,旧テーブル一覧!$A$2:$B$313,2,FALSE)),"",VLOOKUP(D162,旧テーブル一覧!$A$2:$B$313,2,FALSE))</f>
        <v/>
      </c>
    </row>
    <row r="163" spans="3:3" x14ac:dyDescent="0.15">
      <c r="C163" t="str">
        <f>IF(ISNA( VLOOKUP(D163,旧テーブル一覧!$A$2:$B$313,2,FALSE)),"",VLOOKUP(D163,旧テーブル一覧!$A$2:$B$313,2,FALSE))</f>
        <v/>
      </c>
    </row>
    <row r="164" spans="3:3" x14ac:dyDescent="0.15">
      <c r="C164" t="str">
        <f>IF(ISNA( VLOOKUP(D164,旧テーブル一覧!$A$2:$B$313,2,FALSE)),"",VLOOKUP(D164,旧テーブル一覧!$A$2:$B$313,2,FALSE))</f>
        <v/>
      </c>
    </row>
    <row r="165" spans="3:3" x14ac:dyDescent="0.15">
      <c r="C165" t="str">
        <f>IF(ISNA( VLOOKUP(D165,旧テーブル一覧!$A$2:$B$313,2,FALSE)),"",VLOOKUP(D165,旧テーブル一覧!$A$2:$B$313,2,FALSE))</f>
        <v/>
      </c>
    </row>
    <row r="166" spans="3:3" x14ac:dyDescent="0.15">
      <c r="C166" t="str">
        <f>IF(ISNA( VLOOKUP(D166,旧テーブル一覧!$A$2:$B$313,2,FALSE)),"",VLOOKUP(D166,旧テーブル一覧!$A$2:$B$313,2,FALSE))</f>
        <v/>
      </c>
    </row>
    <row r="167" spans="3:3" x14ac:dyDescent="0.15">
      <c r="C167" t="str">
        <f>IF(ISNA( VLOOKUP(D167,旧テーブル一覧!$A$2:$B$313,2,FALSE)),"",VLOOKUP(D167,旧テーブル一覧!$A$2:$B$313,2,FALSE))</f>
        <v/>
      </c>
    </row>
    <row r="168" spans="3:3" x14ac:dyDescent="0.15">
      <c r="C168" t="str">
        <f>IF(ISNA( VLOOKUP(D168,旧テーブル一覧!$A$2:$B$313,2,FALSE)),"",VLOOKUP(D168,旧テーブル一覧!$A$2:$B$313,2,FALSE))</f>
        <v/>
      </c>
    </row>
    <row r="169" spans="3:3" x14ac:dyDescent="0.15">
      <c r="C169" t="str">
        <f>IF(ISNA( VLOOKUP(D169,旧テーブル一覧!$A$2:$B$313,2,FALSE)),"",VLOOKUP(D169,旧テーブル一覧!$A$2:$B$313,2,FALSE))</f>
        <v/>
      </c>
    </row>
    <row r="170" spans="3:3" x14ac:dyDescent="0.15">
      <c r="C170" t="str">
        <f>IF(ISNA( VLOOKUP(D170,旧テーブル一覧!$A$2:$B$313,2,FALSE)),"",VLOOKUP(D170,旧テーブル一覧!$A$2:$B$313,2,FALSE))</f>
        <v/>
      </c>
    </row>
    <row r="171" spans="3:3" x14ac:dyDescent="0.15">
      <c r="C171" t="str">
        <f>IF(ISNA( VLOOKUP(D171,旧テーブル一覧!$A$2:$B$313,2,FALSE)),"",VLOOKUP(D171,旧テーブル一覧!$A$2:$B$313,2,FALSE))</f>
        <v/>
      </c>
    </row>
    <row r="172" spans="3:3" x14ac:dyDescent="0.15">
      <c r="C172" t="str">
        <f>IF(ISNA( VLOOKUP(D172,旧テーブル一覧!$A$2:$B$313,2,FALSE)),"",VLOOKUP(D172,旧テーブル一覧!$A$2:$B$313,2,FALSE))</f>
        <v/>
      </c>
    </row>
    <row r="173" spans="3:3" x14ac:dyDescent="0.15">
      <c r="C173" t="str">
        <f>IF(ISNA( VLOOKUP(D173,旧テーブル一覧!$A$2:$B$313,2,FALSE)),"",VLOOKUP(D173,旧テーブル一覧!$A$2:$B$313,2,FALSE))</f>
        <v/>
      </c>
    </row>
    <row r="174" spans="3:3" x14ac:dyDescent="0.15">
      <c r="C174" t="str">
        <f>IF(ISNA( VLOOKUP(D174,旧テーブル一覧!$A$2:$B$313,2,FALSE)),"",VLOOKUP(D174,旧テーブル一覧!$A$2:$B$313,2,FALSE))</f>
        <v/>
      </c>
    </row>
    <row r="175" spans="3:3" x14ac:dyDescent="0.15">
      <c r="C175" t="str">
        <f>IF(ISNA( VLOOKUP(D175,旧テーブル一覧!$A$2:$B$313,2,FALSE)),"",VLOOKUP(D175,旧テーブル一覧!$A$2:$B$313,2,FALSE))</f>
        <v/>
      </c>
    </row>
    <row r="176" spans="3:3" x14ac:dyDescent="0.15">
      <c r="C176" t="str">
        <f>IF(ISNA( VLOOKUP(D176,旧テーブル一覧!$A$2:$B$313,2,FALSE)),"",VLOOKUP(D176,旧テーブル一覧!$A$2:$B$313,2,FALSE))</f>
        <v/>
      </c>
    </row>
    <row r="177" spans="3:3" x14ac:dyDescent="0.15">
      <c r="C177" t="str">
        <f>IF(ISNA( VLOOKUP(D177,旧テーブル一覧!$A$2:$B$313,2,FALSE)),"",VLOOKUP(D177,旧テーブル一覧!$A$2:$B$313,2,FALSE))</f>
        <v/>
      </c>
    </row>
    <row r="178" spans="3:3" x14ac:dyDescent="0.15">
      <c r="C178" t="str">
        <f>IF(ISNA( VLOOKUP(D178,旧テーブル一覧!$A$2:$B$313,2,FALSE)),"",VLOOKUP(D178,旧テーブル一覧!$A$2:$B$313,2,FALSE))</f>
        <v/>
      </c>
    </row>
    <row r="179" spans="3:3" x14ac:dyDescent="0.15">
      <c r="C179" t="str">
        <f>IF(ISNA( VLOOKUP(D179,旧テーブル一覧!$A$2:$B$313,2,FALSE)),"",VLOOKUP(D179,旧テーブル一覧!$A$2:$B$313,2,FALSE))</f>
        <v/>
      </c>
    </row>
    <row r="180" spans="3:3" x14ac:dyDescent="0.15">
      <c r="C180" t="str">
        <f>IF(ISNA( VLOOKUP(D180,旧テーブル一覧!$A$2:$B$313,2,FALSE)),"",VLOOKUP(D180,旧テーブル一覧!$A$2:$B$313,2,FALSE))</f>
        <v/>
      </c>
    </row>
    <row r="181" spans="3:3" x14ac:dyDescent="0.15">
      <c r="C181" t="str">
        <f>IF(ISNA( VLOOKUP(D181,旧テーブル一覧!$A$2:$B$313,2,FALSE)),"",VLOOKUP(D181,旧テーブル一覧!$A$2:$B$313,2,FALSE))</f>
        <v/>
      </c>
    </row>
    <row r="182" spans="3:3" x14ac:dyDescent="0.15">
      <c r="C182" t="str">
        <f>IF(ISNA( VLOOKUP(D182,旧テーブル一覧!$A$2:$B$313,2,FALSE)),"",VLOOKUP(D182,旧テーブル一覧!$A$2:$B$313,2,FALSE))</f>
        <v/>
      </c>
    </row>
    <row r="183" spans="3:3" x14ac:dyDescent="0.15">
      <c r="C183" t="str">
        <f>IF(ISNA( VLOOKUP(D183,旧テーブル一覧!$A$2:$B$313,2,FALSE)),"",VLOOKUP(D183,旧テーブル一覧!$A$2:$B$313,2,FALSE))</f>
        <v/>
      </c>
    </row>
    <row r="184" spans="3:3" x14ac:dyDescent="0.15">
      <c r="C184" t="str">
        <f>IF(ISNA( VLOOKUP(D184,旧テーブル一覧!$A$2:$B$313,2,FALSE)),"",VLOOKUP(D184,旧テーブル一覧!$A$2:$B$313,2,FALSE))</f>
        <v/>
      </c>
    </row>
    <row r="185" spans="3:3" x14ac:dyDescent="0.15">
      <c r="C185" t="str">
        <f>IF(ISNA( VLOOKUP(D185,旧テーブル一覧!$A$2:$B$313,2,FALSE)),"",VLOOKUP(D185,旧テーブル一覧!$A$2:$B$313,2,FALSE))</f>
        <v/>
      </c>
    </row>
    <row r="186" spans="3:3" x14ac:dyDescent="0.15">
      <c r="C186" t="str">
        <f>IF(ISNA( VLOOKUP(D186,旧テーブル一覧!$A$2:$B$313,2,FALSE)),"",VLOOKUP(D186,旧テーブル一覧!$A$2:$B$313,2,FALSE))</f>
        <v/>
      </c>
    </row>
    <row r="187" spans="3:3" x14ac:dyDescent="0.15">
      <c r="C187" t="str">
        <f>IF(ISNA( VLOOKUP(D187,旧テーブル一覧!$A$2:$B$313,2,FALSE)),"",VLOOKUP(D187,旧テーブル一覧!$A$2:$B$313,2,FALSE))</f>
        <v/>
      </c>
    </row>
    <row r="188" spans="3:3" x14ac:dyDescent="0.15">
      <c r="C188" t="str">
        <f>IF(ISNA( VLOOKUP(D188,旧テーブル一覧!$A$2:$B$313,2,FALSE)),"",VLOOKUP(D188,旧テーブル一覧!$A$2:$B$313,2,FALSE))</f>
        <v/>
      </c>
    </row>
    <row r="189" spans="3:3" x14ac:dyDescent="0.15">
      <c r="C189" t="str">
        <f>IF(ISNA( VLOOKUP(D189,旧テーブル一覧!$A$2:$B$313,2,FALSE)),"",VLOOKUP(D189,旧テーブル一覧!$A$2:$B$313,2,FALSE))</f>
        <v/>
      </c>
    </row>
    <row r="190" spans="3:3" x14ac:dyDescent="0.15">
      <c r="C190" t="str">
        <f>IF(ISNA( VLOOKUP(D190,旧テーブル一覧!$A$2:$B$313,2,FALSE)),"",VLOOKUP(D190,旧テーブル一覧!$A$2:$B$313,2,FALSE))</f>
        <v/>
      </c>
    </row>
    <row r="191" spans="3:3" x14ac:dyDescent="0.15">
      <c r="C191" t="str">
        <f>IF(ISNA( VLOOKUP(D191,旧テーブル一覧!$A$2:$B$313,2,FALSE)),"",VLOOKUP(D191,旧テーブル一覧!$A$2:$B$313,2,FALSE))</f>
        <v/>
      </c>
    </row>
    <row r="192" spans="3:3" x14ac:dyDescent="0.15">
      <c r="C192" t="str">
        <f>IF(ISNA( VLOOKUP(D192,旧テーブル一覧!$A$2:$B$313,2,FALSE)),"",VLOOKUP(D192,旧テーブル一覧!$A$2:$B$313,2,FALSE))</f>
        <v/>
      </c>
    </row>
    <row r="193" spans="3:3" x14ac:dyDescent="0.15">
      <c r="C193" t="str">
        <f>IF(ISNA( VLOOKUP(D193,旧テーブル一覧!$A$2:$B$313,2,FALSE)),"",VLOOKUP(D193,旧テーブル一覧!$A$2:$B$313,2,FALSE))</f>
        <v/>
      </c>
    </row>
    <row r="194" spans="3:3" x14ac:dyDescent="0.15">
      <c r="C194" t="str">
        <f>IF(ISNA( VLOOKUP(D194,旧テーブル一覧!$A$2:$B$313,2,FALSE)),"",VLOOKUP(D194,旧テーブル一覧!$A$2:$B$313,2,FALSE))</f>
        <v/>
      </c>
    </row>
    <row r="195" spans="3:3" x14ac:dyDescent="0.15">
      <c r="C195" t="str">
        <f>IF(ISNA( VLOOKUP(D195,旧テーブル一覧!$A$2:$B$313,2,FALSE)),"",VLOOKUP(D195,旧テーブル一覧!$A$2:$B$313,2,FALSE))</f>
        <v/>
      </c>
    </row>
    <row r="196" spans="3:3" x14ac:dyDescent="0.15">
      <c r="C196" t="str">
        <f>IF(ISNA( VLOOKUP(D196,旧テーブル一覧!$A$2:$B$313,2,FALSE)),"",VLOOKUP(D196,旧テーブル一覧!$A$2:$B$313,2,FALSE))</f>
        <v/>
      </c>
    </row>
    <row r="197" spans="3:3" x14ac:dyDescent="0.15">
      <c r="C197" t="str">
        <f>IF(ISNA( VLOOKUP(D197,旧テーブル一覧!$A$2:$B$313,2,FALSE)),"",VLOOKUP(D197,旧テーブル一覧!$A$2:$B$313,2,FALSE))</f>
        <v/>
      </c>
    </row>
    <row r="198" spans="3:3" x14ac:dyDescent="0.15">
      <c r="C198" t="str">
        <f>IF(ISNA( VLOOKUP(D198,旧テーブル一覧!$A$2:$B$313,2,FALSE)),"",VLOOKUP(D198,旧テーブル一覧!$A$2:$B$313,2,FALSE))</f>
        <v/>
      </c>
    </row>
    <row r="199" spans="3:3" x14ac:dyDescent="0.15">
      <c r="C199" t="str">
        <f>IF(ISNA( VLOOKUP(D199,旧テーブル一覧!$A$2:$B$313,2,FALSE)),"",VLOOKUP(D199,旧テーブル一覧!$A$2:$B$313,2,FALSE))</f>
        <v/>
      </c>
    </row>
    <row r="200" spans="3:3" x14ac:dyDescent="0.15">
      <c r="C200" t="str">
        <f>IF(ISNA( VLOOKUP(D200,旧テーブル一覧!$A$2:$B$313,2,FALSE)),"",VLOOKUP(D200,旧テーブル一覧!$A$2:$B$313,2,FALSE))</f>
        <v/>
      </c>
    </row>
    <row r="201" spans="3:3" x14ac:dyDescent="0.15">
      <c r="C201" t="str">
        <f>IF(ISNA( VLOOKUP(D201,旧テーブル一覧!$A$2:$B$313,2,FALSE)),"",VLOOKUP(D201,旧テーブル一覧!$A$2:$B$313,2,FALSE))</f>
        <v/>
      </c>
    </row>
    <row r="202" spans="3:3" x14ac:dyDescent="0.15">
      <c r="C202" t="str">
        <f>IF(ISNA( VLOOKUP(D202,旧テーブル一覧!$A$2:$B$313,2,FALSE)),"",VLOOKUP(D202,旧テーブル一覧!$A$2:$B$313,2,FALSE))</f>
        <v/>
      </c>
    </row>
    <row r="203" spans="3:3" x14ac:dyDescent="0.15">
      <c r="C203" t="str">
        <f>IF(ISNA( VLOOKUP(D203,旧テーブル一覧!$A$2:$B$313,2,FALSE)),"",VLOOKUP(D203,旧テーブル一覧!$A$2:$B$313,2,FALSE))</f>
        <v/>
      </c>
    </row>
    <row r="204" spans="3:3" x14ac:dyDescent="0.15">
      <c r="C204" t="str">
        <f>IF(ISNA( VLOOKUP(D204,旧テーブル一覧!$A$2:$B$313,2,FALSE)),"",VLOOKUP(D204,旧テーブル一覧!$A$2:$B$313,2,FALSE))</f>
        <v/>
      </c>
    </row>
    <row r="205" spans="3:3" x14ac:dyDescent="0.15">
      <c r="C205" t="str">
        <f>IF(ISNA( VLOOKUP(D205,旧テーブル一覧!$A$2:$B$313,2,FALSE)),"",VLOOKUP(D205,旧テーブル一覧!$A$2:$B$313,2,FALSE))</f>
        <v/>
      </c>
    </row>
    <row r="206" spans="3:3" x14ac:dyDescent="0.15">
      <c r="C206" t="str">
        <f>IF(ISNA( VLOOKUP(D206,旧テーブル一覧!$A$2:$B$313,2,FALSE)),"",VLOOKUP(D206,旧テーブル一覧!$A$2:$B$313,2,FALSE))</f>
        <v/>
      </c>
    </row>
    <row r="207" spans="3:3" x14ac:dyDescent="0.15">
      <c r="C207" t="str">
        <f>IF(ISNA( VLOOKUP(D207,旧テーブル一覧!$A$2:$B$313,2,FALSE)),"",VLOOKUP(D207,旧テーブル一覧!$A$2:$B$313,2,FALSE))</f>
        <v/>
      </c>
    </row>
    <row r="208" spans="3:3" x14ac:dyDescent="0.15">
      <c r="C208" t="str">
        <f>IF(ISNA( VLOOKUP(D208,旧テーブル一覧!$A$2:$B$313,2,FALSE)),"",VLOOKUP(D208,旧テーブル一覧!$A$2:$B$313,2,FALSE))</f>
        <v/>
      </c>
    </row>
    <row r="209" spans="3:3" x14ac:dyDescent="0.15">
      <c r="C209" t="str">
        <f>IF(ISNA( VLOOKUP(D209,旧テーブル一覧!$A$2:$B$313,2,FALSE)),"",VLOOKUP(D209,旧テーブル一覧!$A$2:$B$313,2,FALSE))</f>
        <v/>
      </c>
    </row>
    <row r="210" spans="3:3" x14ac:dyDescent="0.15">
      <c r="C210" t="str">
        <f>IF(ISNA( VLOOKUP(D210,旧テーブル一覧!$A$2:$B$313,2,FALSE)),"",VLOOKUP(D210,旧テーブル一覧!$A$2:$B$313,2,FALSE))</f>
        <v/>
      </c>
    </row>
    <row r="211" spans="3:3" x14ac:dyDescent="0.15">
      <c r="C211" t="str">
        <f>IF(ISNA( VLOOKUP(D211,旧テーブル一覧!$A$2:$B$313,2,FALSE)),"",VLOOKUP(D211,旧テーブル一覧!$A$2:$B$313,2,FALSE))</f>
        <v/>
      </c>
    </row>
    <row r="212" spans="3:3" x14ac:dyDescent="0.15">
      <c r="C212" t="str">
        <f>IF(ISNA( VLOOKUP(D212,旧テーブル一覧!$A$2:$B$313,2,FALSE)),"",VLOOKUP(D212,旧テーブル一覧!$A$2:$B$313,2,FALSE))</f>
        <v/>
      </c>
    </row>
    <row r="213" spans="3:3" x14ac:dyDescent="0.15">
      <c r="C213" t="str">
        <f>IF(ISNA( VLOOKUP(D213,旧テーブル一覧!$A$2:$B$313,2,FALSE)),"",VLOOKUP(D213,旧テーブル一覧!$A$2:$B$313,2,FALSE))</f>
        <v/>
      </c>
    </row>
    <row r="214" spans="3:3" x14ac:dyDescent="0.15">
      <c r="C214" t="str">
        <f>IF(ISNA( VLOOKUP(D214,旧テーブル一覧!$A$2:$B$313,2,FALSE)),"",VLOOKUP(D214,旧テーブル一覧!$A$2:$B$313,2,FALSE))</f>
        <v/>
      </c>
    </row>
    <row r="215" spans="3:3" x14ac:dyDescent="0.15">
      <c r="C215" t="str">
        <f>IF(ISNA( VLOOKUP(D215,旧テーブル一覧!$A$2:$B$313,2,FALSE)),"",VLOOKUP(D215,旧テーブル一覧!$A$2:$B$313,2,FALSE))</f>
        <v/>
      </c>
    </row>
    <row r="216" spans="3:3" x14ac:dyDescent="0.15">
      <c r="C216" t="str">
        <f>IF(ISNA( VLOOKUP(D216,旧テーブル一覧!$A$2:$B$313,2,FALSE)),"",VLOOKUP(D216,旧テーブル一覧!$A$2:$B$313,2,FALSE))</f>
        <v/>
      </c>
    </row>
    <row r="217" spans="3:3" x14ac:dyDescent="0.15">
      <c r="C217" t="str">
        <f>IF(ISNA( VLOOKUP(D217,旧テーブル一覧!$A$2:$B$313,2,FALSE)),"",VLOOKUP(D217,旧テーブル一覧!$A$2:$B$313,2,FALSE))</f>
        <v/>
      </c>
    </row>
    <row r="218" spans="3:3" x14ac:dyDescent="0.15">
      <c r="C218" t="str">
        <f>IF(ISNA( VLOOKUP(D218,旧テーブル一覧!$A$2:$B$313,2,FALSE)),"",VLOOKUP(D218,旧テーブル一覧!$A$2:$B$313,2,FALSE))</f>
        <v/>
      </c>
    </row>
    <row r="219" spans="3:3" x14ac:dyDescent="0.15">
      <c r="C219" t="str">
        <f>IF(ISNA( VLOOKUP(D219,旧テーブル一覧!$A$2:$B$313,2,FALSE)),"",VLOOKUP(D219,旧テーブル一覧!$A$2:$B$313,2,FALSE))</f>
        <v/>
      </c>
    </row>
    <row r="220" spans="3:3" x14ac:dyDescent="0.15">
      <c r="C220" t="str">
        <f>IF(ISNA( VLOOKUP(D220,旧テーブル一覧!$A$2:$B$313,2,FALSE)),"",VLOOKUP(D220,旧テーブル一覧!$A$2:$B$313,2,FALSE))</f>
        <v/>
      </c>
    </row>
    <row r="221" spans="3:3" x14ac:dyDescent="0.15">
      <c r="C221" t="str">
        <f>IF(ISNA( VLOOKUP(D221,旧テーブル一覧!$A$2:$B$313,2,FALSE)),"",VLOOKUP(D221,旧テーブル一覧!$A$2:$B$313,2,FALSE))</f>
        <v/>
      </c>
    </row>
    <row r="222" spans="3:3" x14ac:dyDescent="0.15">
      <c r="C222" t="str">
        <f>IF(ISNA( VLOOKUP(D222,旧テーブル一覧!$A$2:$B$313,2,FALSE)),"",VLOOKUP(D222,旧テーブル一覧!$A$2:$B$313,2,FALSE))</f>
        <v/>
      </c>
    </row>
    <row r="223" spans="3:3" x14ac:dyDescent="0.15">
      <c r="C223" t="str">
        <f>IF(ISNA( VLOOKUP(D223,旧テーブル一覧!$A$2:$B$313,2,FALSE)),"",VLOOKUP(D223,旧テーブル一覧!$A$2:$B$313,2,FALSE))</f>
        <v/>
      </c>
    </row>
    <row r="224" spans="3:3" x14ac:dyDescent="0.15">
      <c r="C224" t="str">
        <f>IF(ISNA( VLOOKUP(D224,旧テーブル一覧!$A$2:$B$313,2,FALSE)),"",VLOOKUP(D224,旧テーブル一覧!$A$2:$B$313,2,FALSE))</f>
        <v/>
      </c>
    </row>
    <row r="225" spans="3:3" x14ac:dyDescent="0.15">
      <c r="C225" t="str">
        <f>IF(ISNA( VLOOKUP(D225,旧テーブル一覧!$A$2:$B$313,2,FALSE)),"",VLOOKUP(D225,旧テーブル一覧!$A$2:$B$313,2,FALSE))</f>
        <v/>
      </c>
    </row>
    <row r="226" spans="3:3" x14ac:dyDescent="0.15">
      <c r="C226" t="str">
        <f>IF(ISNA( VLOOKUP(D226,旧テーブル一覧!$A$2:$B$313,2,FALSE)),"",VLOOKUP(D226,旧テーブル一覧!$A$2:$B$313,2,FALSE))</f>
        <v/>
      </c>
    </row>
    <row r="227" spans="3:3" x14ac:dyDescent="0.15">
      <c r="C227" t="str">
        <f>IF(ISNA( VLOOKUP(D227,旧テーブル一覧!$A$2:$B$313,2,FALSE)),"",VLOOKUP(D227,旧テーブル一覧!$A$2:$B$313,2,FALSE))</f>
        <v/>
      </c>
    </row>
    <row r="228" spans="3:3" x14ac:dyDescent="0.15">
      <c r="C228" t="str">
        <f>IF(ISNA( VLOOKUP(D228,旧テーブル一覧!$A$2:$B$313,2,FALSE)),"",VLOOKUP(D228,旧テーブル一覧!$A$2:$B$313,2,FALSE))</f>
        <v/>
      </c>
    </row>
    <row r="229" spans="3:3" x14ac:dyDescent="0.15">
      <c r="C229" t="str">
        <f>IF(ISNA( VLOOKUP(D229,旧テーブル一覧!$A$2:$B$313,2,FALSE)),"",VLOOKUP(D229,旧テーブル一覧!$A$2:$B$313,2,FALSE))</f>
        <v/>
      </c>
    </row>
    <row r="230" spans="3:3" x14ac:dyDescent="0.15">
      <c r="C230" t="str">
        <f>IF(ISNA( VLOOKUP(D230,旧テーブル一覧!$A$2:$B$313,2,FALSE)),"",VLOOKUP(D230,旧テーブル一覧!$A$2:$B$313,2,FALSE))</f>
        <v/>
      </c>
    </row>
    <row r="231" spans="3:3" x14ac:dyDescent="0.15">
      <c r="C231" t="str">
        <f>IF(ISNA( VLOOKUP(D231,旧テーブル一覧!$A$2:$B$313,2,FALSE)),"",VLOOKUP(D231,旧テーブル一覧!$A$2:$B$313,2,FALSE))</f>
        <v/>
      </c>
    </row>
    <row r="232" spans="3:3" x14ac:dyDescent="0.15">
      <c r="C232" t="str">
        <f>IF(ISNA( VLOOKUP(D232,旧テーブル一覧!$A$2:$B$313,2,FALSE)),"",VLOOKUP(D232,旧テーブル一覧!$A$2:$B$313,2,FALSE))</f>
        <v/>
      </c>
    </row>
    <row r="233" spans="3:3" x14ac:dyDescent="0.15">
      <c r="C233" t="str">
        <f>IF(ISNA( VLOOKUP(D233,旧テーブル一覧!$A$2:$B$313,2,FALSE)),"",VLOOKUP(D233,旧テーブル一覧!$A$2:$B$313,2,FALSE))</f>
        <v/>
      </c>
    </row>
    <row r="234" spans="3:3" x14ac:dyDescent="0.15">
      <c r="C234" t="str">
        <f>IF(ISNA( VLOOKUP(D234,旧テーブル一覧!$A$2:$B$313,2,FALSE)),"",VLOOKUP(D234,旧テーブル一覧!$A$2:$B$313,2,FALSE))</f>
        <v/>
      </c>
    </row>
    <row r="235" spans="3:3" x14ac:dyDescent="0.15">
      <c r="C235" t="str">
        <f>IF(ISNA( VLOOKUP(D235,旧テーブル一覧!$A$2:$B$313,2,FALSE)),"",VLOOKUP(D235,旧テーブル一覧!$A$2:$B$313,2,FALSE))</f>
        <v/>
      </c>
    </row>
    <row r="236" spans="3:3" x14ac:dyDescent="0.15">
      <c r="C236" t="str">
        <f>IF(ISNA( VLOOKUP(D236,旧テーブル一覧!$A$2:$B$313,2,FALSE)),"",VLOOKUP(D236,旧テーブル一覧!$A$2:$B$313,2,FALSE))</f>
        <v/>
      </c>
    </row>
    <row r="237" spans="3:3" x14ac:dyDescent="0.15">
      <c r="C237" t="str">
        <f>IF(ISNA( VLOOKUP(D237,旧テーブル一覧!$A$2:$B$313,2,FALSE)),"",VLOOKUP(D237,旧テーブル一覧!$A$2:$B$313,2,FALSE))</f>
        <v/>
      </c>
    </row>
    <row r="238" spans="3:3" x14ac:dyDescent="0.15">
      <c r="C238" t="str">
        <f>IF(ISNA( VLOOKUP(D238,旧テーブル一覧!$A$2:$B$313,2,FALSE)),"",VLOOKUP(D238,旧テーブル一覧!$A$2:$B$313,2,FALSE))</f>
        <v/>
      </c>
    </row>
    <row r="239" spans="3:3" x14ac:dyDescent="0.15">
      <c r="C239" t="str">
        <f>IF(ISNA( VLOOKUP(D239,旧テーブル一覧!$A$2:$B$313,2,FALSE)),"",VLOOKUP(D239,旧テーブル一覧!$A$2:$B$313,2,FALSE))</f>
        <v/>
      </c>
    </row>
    <row r="240" spans="3:3" x14ac:dyDescent="0.15">
      <c r="C240" t="str">
        <f>IF(ISNA( VLOOKUP(D240,旧テーブル一覧!$A$2:$B$313,2,FALSE)),"",VLOOKUP(D240,旧テーブル一覧!$A$2:$B$313,2,FALSE))</f>
        <v/>
      </c>
    </row>
    <row r="241" spans="3:3" x14ac:dyDescent="0.15">
      <c r="C241" t="str">
        <f>IF(ISNA( VLOOKUP(D241,旧テーブル一覧!$A$2:$B$313,2,FALSE)),"",VLOOKUP(D241,旧テーブル一覧!$A$2:$B$313,2,FALSE))</f>
        <v/>
      </c>
    </row>
    <row r="242" spans="3:3" x14ac:dyDescent="0.15">
      <c r="C242" t="str">
        <f>IF(ISNA( VLOOKUP(D242,旧テーブル一覧!$A$2:$B$313,2,FALSE)),"",VLOOKUP(D242,旧テーブル一覧!$A$2:$B$313,2,FALSE))</f>
        <v/>
      </c>
    </row>
    <row r="243" spans="3:3" x14ac:dyDescent="0.15">
      <c r="C243" t="str">
        <f>IF(ISNA( VLOOKUP(D243,旧テーブル一覧!$A$2:$B$313,2,FALSE)),"",VLOOKUP(D243,旧テーブル一覧!$A$2:$B$313,2,FALSE))</f>
        <v/>
      </c>
    </row>
    <row r="244" spans="3:3" x14ac:dyDescent="0.15">
      <c r="C244" t="str">
        <f>IF(ISNA( VLOOKUP(D244,旧テーブル一覧!$A$2:$B$313,2,FALSE)),"",VLOOKUP(D244,旧テーブル一覧!$A$2:$B$313,2,FALSE))</f>
        <v/>
      </c>
    </row>
    <row r="245" spans="3:3" x14ac:dyDescent="0.15">
      <c r="C245" t="str">
        <f>IF(ISNA( VLOOKUP(D245,旧テーブル一覧!$A$2:$B$313,2,FALSE)),"",VLOOKUP(D245,旧テーブル一覧!$A$2:$B$313,2,FALSE))</f>
        <v/>
      </c>
    </row>
    <row r="246" spans="3:3" x14ac:dyDescent="0.15">
      <c r="C246" t="str">
        <f>IF(ISNA( VLOOKUP(D246,旧テーブル一覧!$A$2:$B$313,2,FALSE)),"",VLOOKUP(D246,旧テーブル一覧!$A$2:$B$313,2,FALSE))</f>
        <v/>
      </c>
    </row>
    <row r="247" spans="3:3" x14ac:dyDescent="0.15">
      <c r="C247" t="str">
        <f>IF(ISNA( VLOOKUP(D247,旧テーブル一覧!$A$2:$B$313,2,FALSE)),"",VLOOKUP(D247,旧テーブル一覧!$A$2:$B$313,2,FALSE))</f>
        <v/>
      </c>
    </row>
    <row r="248" spans="3:3" x14ac:dyDescent="0.15">
      <c r="C248" t="str">
        <f>IF(ISNA( VLOOKUP(D248,旧テーブル一覧!$A$2:$B$313,2,FALSE)),"",VLOOKUP(D248,旧テーブル一覧!$A$2:$B$313,2,FALSE))</f>
        <v/>
      </c>
    </row>
    <row r="249" spans="3:3" x14ac:dyDescent="0.15">
      <c r="C249" t="str">
        <f>IF(ISNA( VLOOKUP(D249,旧テーブル一覧!$A$2:$B$313,2,FALSE)),"",VLOOKUP(D249,旧テーブル一覧!$A$2:$B$313,2,FALSE))</f>
        <v/>
      </c>
    </row>
    <row r="250" spans="3:3" x14ac:dyDescent="0.15">
      <c r="C250" t="str">
        <f>IF(ISNA( VLOOKUP(D250,旧テーブル一覧!$A$2:$B$313,2,FALSE)),"",VLOOKUP(D250,旧テーブル一覧!$A$2:$B$313,2,FALSE))</f>
        <v/>
      </c>
    </row>
    <row r="251" spans="3:3" x14ac:dyDescent="0.15">
      <c r="C251" t="str">
        <f>IF(ISNA( VLOOKUP(D251,旧テーブル一覧!$A$2:$B$313,2,FALSE)),"",VLOOKUP(D251,旧テーブル一覧!$A$2:$B$313,2,FALSE))</f>
        <v/>
      </c>
    </row>
    <row r="252" spans="3:3" x14ac:dyDescent="0.15">
      <c r="C252" t="str">
        <f>IF(ISNA( VLOOKUP(D252,旧テーブル一覧!$A$2:$B$313,2,FALSE)),"",VLOOKUP(D252,旧テーブル一覧!$A$2:$B$313,2,FALSE))</f>
        <v/>
      </c>
    </row>
    <row r="253" spans="3:3" x14ac:dyDescent="0.15">
      <c r="C253" t="str">
        <f>IF(ISNA( VLOOKUP(D253,旧テーブル一覧!$A$2:$B$313,2,FALSE)),"",VLOOKUP(D253,旧テーブル一覧!$A$2:$B$313,2,FALSE))</f>
        <v/>
      </c>
    </row>
    <row r="254" spans="3:3" x14ac:dyDescent="0.15">
      <c r="C254" t="str">
        <f>IF(ISNA( VLOOKUP(D254,旧テーブル一覧!$A$2:$B$313,2,FALSE)),"",VLOOKUP(D254,旧テーブル一覧!$A$2:$B$313,2,FALSE))</f>
        <v/>
      </c>
    </row>
    <row r="255" spans="3:3" x14ac:dyDescent="0.15">
      <c r="C255" t="str">
        <f>IF(ISNA( VLOOKUP(D255,旧テーブル一覧!$A$2:$B$313,2,FALSE)),"",VLOOKUP(D255,旧テーブル一覧!$A$2:$B$313,2,FALSE))</f>
        <v/>
      </c>
    </row>
    <row r="256" spans="3:3" x14ac:dyDescent="0.15">
      <c r="C256" t="str">
        <f>IF(ISNA( VLOOKUP(D256,旧テーブル一覧!$A$2:$B$313,2,FALSE)),"",VLOOKUP(D256,旧テーブル一覧!$A$2:$B$313,2,FALSE))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74"/>
  <sheetViews>
    <sheetView workbookViewId="0">
      <selection activeCell="D23" sqref="D23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191</v>
      </c>
      <c r="C2" t="str">
        <f>IF(ISNA( VLOOKUP(D2,テーブル一覧!$A$2:$B$313,2,FALSE)),"",VLOOKUP(D2,テーブル一覧!$A$2:$B$313,2,FALSE))</f>
        <v>生産計画</v>
      </c>
      <c r="D2" s="1" t="s">
        <v>476</v>
      </c>
      <c r="E2" t="str">
        <f>PRODUCTION_TABLELIST[[#This Row],[テーブル名]]</f>
        <v>生産計画</v>
      </c>
    </row>
    <row r="3" spans="1:5" x14ac:dyDescent="0.15">
      <c r="A3">
        <f t="shared" ref="A3:A74" si="0">ROW()-1</f>
        <v>2</v>
      </c>
      <c r="B3" t="s">
        <v>191</v>
      </c>
      <c r="C3" t="str">
        <f>IF(ISNA( VLOOKUP(D3,テーブル一覧!$A$2:$B$313,2,FALSE)),"",VLOOKUP(D3,テーブル一覧!$A$2:$B$313,2,FALSE))</f>
        <v>生産計画－品種</v>
      </c>
      <c r="D3" s="1" t="s">
        <v>482</v>
      </c>
      <c r="E3" t="str">
        <f>PRODUCTION_TABLELIST[[#This Row],[テーブル名]]</f>
        <v>生産計画－品種</v>
      </c>
    </row>
    <row r="4" spans="1:5" x14ac:dyDescent="0.15">
      <c r="A4">
        <f t="shared" si="0"/>
        <v>3</v>
      </c>
      <c r="B4" t="s">
        <v>191</v>
      </c>
      <c r="C4" t="str">
        <f>IF(ISNA( VLOOKUP(D4,テーブル一覧!$A$2:$B$313,2,FALSE)),"",VLOOKUP(D4,テーブル一覧!$A$2:$B$313,2,FALSE))</f>
        <v>生産計画－品種－付属情報</v>
      </c>
      <c r="D4" s="1" t="s">
        <v>376</v>
      </c>
      <c r="E4" t="str">
        <f>PRODUCTION_TABLELIST[[#This Row],[テーブル名]]</f>
        <v>生産計画－品種－付属情報</v>
      </c>
    </row>
    <row r="5" spans="1:5" x14ac:dyDescent="0.15">
      <c r="A5">
        <f t="shared" si="0"/>
        <v>4</v>
      </c>
      <c r="B5" t="s">
        <v>191</v>
      </c>
      <c r="C5" t="str">
        <f>IF(ISNA( VLOOKUP(D5,テーブル一覧!$A$2:$B$313,2,FALSE)),"",VLOOKUP(D5,テーブル一覧!$A$2:$B$313,2,FALSE))</f>
        <v>生産計画－基本</v>
      </c>
      <c r="D5" s="1" t="s">
        <v>463</v>
      </c>
      <c r="E5" t="str">
        <f>PRODUCTION_TABLELIST[[#This Row],[テーブル名]]</f>
        <v>生産計画－基本</v>
      </c>
    </row>
    <row r="6" spans="1:5" x14ac:dyDescent="0.15">
      <c r="A6">
        <f t="shared" si="0"/>
        <v>5</v>
      </c>
      <c r="B6" t="s">
        <v>191</v>
      </c>
      <c r="C6" t="str">
        <f>IF(ISNA( VLOOKUP(D6,テーブル一覧!$A$2:$B$313,2,FALSE)),"",VLOOKUP(D6,テーブル一覧!$A$2:$B$313,2,FALSE))</f>
        <v>生産計画－基本－生産パラメータ</v>
      </c>
      <c r="D6" s="1" t="s">
        <v>484</v>
      </c>
      <c r="E6" t="str">
        <f>PRODUCTION_TABLELIST[[#This Row],[テーブル名]]</f>
        <v>生産計画－基本－生産パラメータ</v>
      </c>
    </row>
    <row r="7" spans="1:5" x14ac:dyDescent="0.15">
      <c r="A7">
        <f t="shared" si="0"/>
        <v>6</v>
      </c>
      <c r="B7" t="s">
        <v>191</v>
      </c>
      <c r="C7" t="str">
        <f>IF(ISNA( VLOOKUP(D7,テーブル一覧!$A$2:$B$313,2,FALSE)),"",VLOOKUP(D7,テーブル一覧!$A$2:$B$313,2,FALSE))</f>
        <v>生産計画－基本－生産パラメータ－計画値</v>
      </c>
      <c r="D7" s="1" t="s">
        <v>488</v>
      </c>
      <c r="E7" t="str">
        <f>PRODUCTION_TABLELIST[[#This Row],[テーブル名]]</f>
        <v>生産計画－基本－生産パラメータ－計画値</v>
      </c>
    </row>
    <row r="8" spans="1:5" x14ac:dyDescent="0.15">
      <c r="A8">
        <f t="shared" si="0"/>
        <v>7</v>
      </c>
      <c r="B8" t="s">
        <v>191</v>
      </c>
      <c r="C8" t="str">
        <f>IF(ISNA( VLOOKUP(D8,テーブル一覧!$A$2:$B$313,2,FALSE)),"",VLOOKUP(D8,テーブル一覧!$A$2:$B$313,2,FALSE))</f>
        <v>生産計画－段取</v>
      </c>
      <c r="D8" s="1" t="s">
        <v>464</v>
      </c>
      <c r="E8" t="str">
        <f>PRODUCTION_TABLELIST[[#This Row],[テーブル名]]</f>
        <v>生産計画－段取</v>
      </c>
    </row>
    <row r="9" spans="1:5" x14ac:dyDescent="0.15">
      <c r="A9">
        <f t="shared" si="0"/>
        <v>8</v>
      </c>
      <c r="B9" t="s">
        <v>191</v>
      </c>
      <c r="C9" t="str">
        <f>IF(ISNA( VLOOKUP(D9,テーブル一覧!$A$2:$B$313,2,FALSE)),"",VLOOKUP(D9,テーブル一覧!$A$2:$B$313,2,FALSE))</f>
        <v>生産計画－段取－項目</v>
      </c>
      <c r="D9" s="1" t="s">
        <v>491</v>
      </c>
      <c r="E9" t="str">
        <f>PRODUCTION_TABLELIST[[#This Row],[テーブル名]]</f>
        <v>生産計画－段取－項目</v>
      </c>
    </row>
    <row r="10" spans="1:5" x14ac:dyDescent="0.15">
      <c r="A10">
        <f t="shared" si="0"/>
        <v>9</v>
      </c>
      <c r="B10" t="s">
        <v>191</v>
      </c>
      <c r="C10" t="str">
        <f>IF(ISNA( VLOOKUP(D10,テーブル一覧!$A$2:$B$313,2,FALSE)),"",VLOOKUP(D10,テーブル一覧!$A$2:$B$313,2,FALSE))</f>
        <v>生産計画－工程分類</v>
      </c>
      <c r="D10" s="1" t="s">
        <v>492</v>
      </c>
      <c r="E10" t="str">
        <f>PRODUCTION_TABLELIST[[#This Row],[テーブル名]]</f>
        <v>生産計画－工程分類</v>
      </c>
    </row>
    <row r="11" spans="1:5" x14ac:dyDescent="0.15">
      <c r="A11">
        <f t="shared" si="0"/>
        <v>10</v>
      </c>
      <c r="B11" t="s">
        <v>191</v>
      </c>
      <c r="C11" t="str">
        <f>IF(ISNA( VLOOKUP(D11,テーブル一覧!$A$2:$B$313,2,FALSE)),"",VLOOKUP(D11,テーブル一覧!$A$2:$B$313,2,FALSE))</f>
        <v>生産計画－工程</v>
      </c>
      <c r="D11" s="1" t="s">
        <v>465</v>
      </c>
      <c r="E11" t="str">
        <f>PRODUCTION_TABLELIST[[#This Row],[テーブル名]]</f>
        <v>生産計画－工程</v>
      </c>
    </row>
    <row r="12" spans="1:5" x14ac:dyDescent="0.15">
      <c r="A12">
        <f t="shared" si="0"/>
        <v>11</v>
      </c>
      <c r="B12" t="s">
        <v>191</v>
      </c>
      <c r="C12" t="str">
        <f>IF(ISNA( VLOOKUP(D12,テーブル一覧!$A$2:$B$313,2,FALSE)),"",VLOOKUP(D12,テーブル一覧!$A$2:$B$313,2,FALSE))</f>
        <v>生産計画－工程－生産パラメータ</v>
      </c>
      <c r="D12" s="1" t="s">
        <v>493</v>
      </c>
      <c r="E12" t="str">
        <f>PRODUCTION_TABLELIST[[#This Row],[テーブル名]]</f>
        <v>生産計画－工程－生産パラメータ</v>
      </c>
    </row>
    <row r="13" spans="1:5" x14ac:dyDescent="0.15">
      <c r="A13">
        <f t="shared" si="0"/>
        <v>12</v>
      </c>
      <c r="B13" t="s">
        <v>191</v>
      </c>
      <c r="C13" t="str">
        <f>IF(ISNA( VLOOKUP(D13,テーブル一覧!$A$2:$B$313,2,FALSE)),"",VLOOKUP(D13,テーブル一覧!$A$2:$B$313,2,FALSE))</f>
        <v>生産計画－工程－生産パラメータ－計画値</v>
      </c>
      <c r="D13" s="1" t="s">
        <v>494</v>
      </c>
      <c r="E13" t="str">
        <f>PRODUCTION_TABLELIST[[#This Row],[テーブル名]]</f>
        <v>生産計画－工程－生産パラメータ－計画値</v>
      </c>
    </row>
    <row r="14" spans="1:5" x14ac:dyDescent="0.15">
      <c r="A14">
        <f t="shared" si="0"/>
        <v>13</v>
      </c>
      <c r="B14" t="s">
        <v>191</v>
      </c>
      <c r="C14" t="str">
        <f>IF(ISNA( VLOOKUP(D14,テーブル一覧!$A$2:$B$313,2,FALSE)),"",VLOOKUP(D14,テーブル一覧!$A$2:$B$313,2,FALSE))</f>
        <v>生産計画－工程－工程履歴－発生内訳</v>
      </c>
      <c r="D14" s="1" t="s">
        <v>495</v>
      </c>
      <c r="E14" t="str">
        <f>PRODUCTION_TABLELIST[[#This Row],[テーブル名]]</f>
        <v>生産計画－工程－工程履歴－発生内訳</v>
      </c>
    </row>
    <row r="15" spans="1:5" x14ac:dyDescent="0.15">
      <c r="A15">
        <f t="shared" si="0"/>
        <v>14</v>
      </c>
      <c r="B15" t="s">
        <v>191</v>
      </c>
      <c r="C15" t="str">
        <f>IF(ISNA( VLOOKUP(D15,テーブル一覧!$A$2:$B$313,2,FALSE)),"",VLOOKUP(D15,テーブル一覧!$A$2:$B$313,2,FALSE))</f>
        <v>生産計画－工程－ロット管理</v>
      </c>
      <c r="D15" s="1" t="s">
        <v>496</v>
      </c>
      <c r="E15" t="str">
        <f>PRODUCTION_TABLELIST[[#This Row],[テーブル名]]</f>
        <v>生産計画－工程－ロット管理</v>
      </c>
    </row>
    <row r="16" spans="1:5" x14ac:dyDescent="0.15">
      <c r="A16">
        <f t="shared" si="0"/>
        <v>15</v>
      </c>
      <c r="B16" t="s">
        <v>191</v>
      </c>
      <c r="C16" t="str">
        <f>IF(ISNA( VLOOKUP(D16,テーブル一覧!$A$2:$B$313,2,FALSE)),"",VLOOKUP(D16,テーブル一覧!$A$2:$B$313,2,FALSE))</f>
        <v>生産計画－工程－ロット管理－計画値</v>
      </c>
      <c r="D16" s="1" t="s">
        <v>497</v>
      </c>
      <c r="E16" t="str">
        <f>PRODUCTION_TABLELIST[[#This Row],[テーブル名]]</f>
        <v>生産計画－工程－ロット管理－計画値</v>
      </c>
    </row>
    <row r="17" spans="1:5" x14ac:dyDescent="0.15">
      <c r="A17">
        <f t="shared" si="0"/>
        <v>16</v>
      </c>
      <c r="B17" t="s">
        <v>191</v>
      </c>
      <c r="C17" t="str">
        <f>IF(ISNA( VLOOKUP(D17,テーブル一覧!$A$2:$B$313,2,FALSE)),"",VLOOKUP(D17,テーブル一覧!$A$2:$B$313,2,FALSE))</f>
        <v>生産計画－工程－構成</v>
      </c>
      <c r="D17" s="1" t="s">
        <v>388</v>
      </c>
      <c r="E17" t="str">
        <f>PRODUCTION_TABLELIST[[#This Row],[テーブル名]]</f>
        <v>生産計画－工程－構成</v>
      </c>
    </row>
    <row r="18" spans="1:5" x14ac:dyDescent="0.15">
      <c r="A18">
        <f t="shared" si="0"/>
        <v>17</v>
      </c>
      <c r="B18" t="s">
        <v>191</v>
      </c>
      <c r="C18" t="str">
        <f>IF(ISNA( VLOOKUP(D18,テーブル一覧!$A$2:$B$313,2,FALSE)),"",VLOOKUP(D18,テーブル一覧!$A$2:$B$313,2,FALSE))</f>
        <v>生産計画－工程－構成－項目</v>
      </c>
      <c r="D18" s="1" t="s">
        <v>389</v>
      </c>
      <c r="E18" t="str">
        <f>PRODUCTION_TABLELIST[[#This Row],[テーブル名]]</f>
        <v>生産計画－工程－構成－項目</v>
      </c>
    </row>
    <row r="19" spans="1:5" x14ac:dyDescent="0.15">
      <c r="A19">
        <f t="shared" si="0"/>
        <v>18</v>
      </c>
      <c r="B19" t="s">
        <v>191</v>
      </c>
      <c r="C19" t="str">
        <f>IF(ISNA( VLOOKUP(D19,テーブル一覧!$A$2:$B$313,2,FALSE)),"",VLOOKUP(D19,テーブル一覧!$A$2:$B$313,2,FALSE))</f>
        <v>生産計画－工程－構成－計画値</v>
      </c>
      <c r="D19" s="1" t="s">
        <v>390</v>
      </c>
      <c r="E19" t="str">
        <f>PRODUCTION_TABLELIST[[#This Row],[テーブル名]]</f>
        <v>生産計画－工程－構成－計画値</v>
      </c>
    </row>
    <row r="20" spans="1:5" x14ac:dyDescent="0.15">
      <c r="A20">
        <f t="shared" si="0"/>
        <v>19</v>
      </c>
      <c r="B20" t="s">
        <v>191</v>
      </c>
      <c r="C20" t="str">
        <f>IF(ISNA( VLOOKUP(D20,テーブル一覧!$A$2:$B$313,2,FALSE)),"",VLOOKUP(D20,テーブル一覧!$A$2:$B$313,2,FALSE))</f>
        <v>生産計画－工程－作業</v>
      </c>
      <c r="D20" s="1" t="s">
        <v>466</v>
      </c>
      <c r="E20" t="str">
        <f>PRODUCTION_TABLELIST[[#This Row],[テーブル名]]</f>
        <v>生産計画－工程－作業</v>
      </c>
    </row>
    <row r="21" spans="1:5" x14ac:dyDescent="0.15">
      <c r="A21">
        <f t="shared" si="0"/>
        <v>20</v>
      </c>
      <c r="B21" t="s">
        <v>191</v>
      </c>
      <c r="C21" t="str">
        <f>IF(ISNA( VLOOKUP(D21,テーブル一覧!$A$2:$B$313,2,FALSE)),"",VLOOKUP(D21,テーブル一覧!$A$2:$B$313,2,FALSE))</f>
        <v>生産計画－工程－作業－項目</v>
      </c>
      <c r="D21" s="1" t="s">
        <v>392</v>
      </c>
      <c r="E21" t="str">
        <f>PRODUCTION_TABLELIST[[#This Row],[テーブル名]]</f>
        <v>生産計画－工程－作業－項目</v>
      </c>
    </row>
    <row r="22" spans="1:5" x14ac:dyDescent="0.15">
      <c r="A22">
        <f t="shared" si="0"/>
        <v>21</v>
      </c>
      <c r="B22" t="s">
        <v>191</v>
      </c>
      <c r="C22" t="str">
        <f>IF(ISNA( VLOOKUP(D22,テーブル一覧!$A$2:$B$313,2,FALSE)),"",VLOOKUP(D22,テーブル一覧!$A$2:$B$313,2,FALSE))</f>
        <v>生産計画－工程－検査</v>
      </c>
      <c r="D22" s="1" t="s">
        <v>467</v>
      </c>
      <c r="E22" t="str">
        <f>PRODUCTION_TABLELIST[[#This Row],[テーブル名]]</f>
        <v>生産計画－工程－検査</v>
      </c>
    </row>
    <row r="23" spans="1:5" x14ac:dyDescent="0.15">
      <c r="A23">
        <f t="shared" si="0"/>
        <v>22</v>
      </c>
      <c r="B23" t="s">
        <v>191</v>
      </c>
      <c r="C23" t="str">
        <f>IF(ISNA( VLOOKUP(D23,テーブル一覧!$A$2:$B$313,2,FALSE)),"",VLOOKUP(D23,テーブル一覧!$A$2:$B$313,2,FALSE))</f>
        <v>生産計画－工程－検査－項目</v>
      </c>
      <c r="D23" s="1" t="s">
        <v>394</v>
      </c>
      <c r="E23" t="str">
        <f>PRODUCTION_TABLELIST[[#This Row],[テーブル名]]</f>
        <v>生産計画－工程－検査－項目</v>
      </c>
    </row>
    <row r="24" spans="1:5" x14ac:dyDescent="0.15">
      <c r="A24">
        <f t="shared" si="0"/>
        <v>23</v>
      </c>
      <c r="B24" t="s">
        <v>191</v>
      </c>
      <c r="C24" t="str">
        <f>IF(ISNA( VLOOKUP(D24,テーブル一覧!$A$2:$B$313,2,FALSE)),"",VLOOKUP(D24,テーブル一覧!$A$2:$B$313,2,FALSE))</f>
        <v>生産計画－工程－検査－計画値</v>
      </c>
      <c r="D24" s="1" t="s">
        <v>395</v>
      </c>
      <c r="E24" t="str">
        <f>PRODUCTION_TABLELIST[[#This Row],[テーブル名]]</f>
        <v>生産計画－工程－検査－計画値</v>
      </c>
    </row>
    <row r="25" spans="1:5" x14ac:dyDescent="0.15">
      <c r="A25">
        <f t="shared" si="0"/>
        <v>24</v>
      </c>
      <c r="B25" t="s">
        <v>191</v>
      </c>
      <c r="C25" t="str">
        <f>IF(ISNA( VLOOKUP(D25,テーブル一覧!$A$2:$B$313,2,FALSE)),"",VLOOKUP(D25,テーブル一覧!$A$2:$B$313,2,FALSE))</f>
        <v>生産計画－工程－検査－項目－条件</v>
      </c>
      <c r="D25" s="1" t="s">
        <v>396</v>
      </c>
      <c r="E25" t="str">
        <f>PRODUCTION_TABLELIST[[#This Row],[テーブル名]]</f>
        <v>生産計画－工程－検査－項目－条件</v>
      </c>
    </row>
    <row r="26" spans="1:5" x14ac:dyDescent="0.15">
      <c r="A26">
        <f t="shared" si="0"/>
        <v>25</v>
      </c>
      <c r="B26" t="s">
        <v>191</v>
      </c>
      <c r="C26" t="str">
        <f>IF(ISNA( VLOOKUP(D26,テーブル一覧!$A$2:$B$313,2,FALSE)),"",VLOOKUP(D26,テーブル一覧!$A$2:$B$313,2,FALSE))</f>
        <v>生産計画－工程－検査－項目－条件－計画値</v>
      </c>
      <c r="D26" s="1" t="s">
        <v>397</v>
      </c>
      <c r="E26" t="str">
        <f>PRODUCTION_TABLELIST[[#This Row],[テーブル名]]</f>
        <v>生産計画－工程－検査－項目－条件－計画値</v>
      </c>
    </row>
    <row r="27" spans="1:5" x14ac:dyDescent="0.15">
      <c r="A27">
        <f t="shared" si="0"/>
        <v>26</v>
      </c>
      <c r="B27" t="s">
        <v>191</v>
      </c>
      <c r="C27" t="str">
        <f>IF(ISNA( VLOOKUP(D27,テーブル一覧!$A$2:$B$313,2,FALSE)),"",VLOOKUP(D27,テーブル一覧!$A$2:$B$313,2,FALSE))</f>
        <v>生産計画－工程－測定</v>
      </c>
      <c r="D27" s="1" t="s">
        <v>398</v>
      </c>
      <c r="E27" t="str">
        <f>PRODUCTION_TABLELIST[[#This Row],[テーブル名]]</f>
        <v>生産計画－工程－測定</v>
      </c>
    </row>
    <row r="28" spans="1:5" x14ac:dyDescent="0.15">
      <c r="A28">
        <f t="shared" si="0"/>
        <v>27</v>
      </c>
      <c r="B28" t="s">
        <v>191</v>
      </c>
      <c r="C28" t="str">
        <f>IF(ISNA( VLOOKUP(D28,テーブル一覧!$A$2:$B$313,2,FALSE)),"",VLOOKUP(D28,テーブル一覧!$A$2:$B$313,2,FALSE))</f>
        <v>生産計画－工程－測定－項目</v>
      </c>
      <c r="D28" s="1" t="s">
        <v>499</v>
      </c>
      <c r="E28" t="str">
        <f>PRODUCTION_TABLELIST[[#This Row],[テーブル名]]</f>
        <v>生産計画－工程－測定－項目</v>
      </c>
    </row>
    <row r="29" spans="1:5" x14ac:dyDescent="0.15">
      <c r="A29">
        <f t="shared" si="0"/>
        <v>28</v>
      </c>
      <c r="B29" t="s">
        <v>191</v>
      </c>
      <c r="C29" t="str">
        <f>IF(ISNA( VLOOKUP(D29,テーブル一覧!$A$2:$B$313,2,FALSE)),"",VLOOKUP(D29,テーブル一覧!$A$2:$B$313,2,FALSE))</f>
        <v>生産計画－工程－測定－計画値</v>
      </c>
      <c r="D29" s="1" t="s">
        <v>498</v>
      </c>
      <c r="E29" t="str">
        <f>PRODUCTION_TABLELIST[[#This Row],[テーブル名]]</f>
        <v>生産計画－工程－測定－計画値</v>
      </c>
    </row>
    <row r="30" spans="1:5" x14ac:dyDescent="0.15">
      <c r="A30">
        <f t="shared" si="0"/>
        <v>29</v>
      </c>
      <c r="B30" t="s">
        <v>191</v>
      </c>
      <c r="C30" t="str">
        <f>IF(ISNA( VLOOKUP(D30,テーブル一覧!$A$2:$B$313,2,FALSE)),"",VLOOKUP(D30,テーブル一覧!$A$2:$B$313,2,FALSE))</f>
        <v>生産計画－工程－測定－項目－条件</v>
      </c>
      <c r="D30" s="1" t="s">
        <v>500</v>
      </c>
      <c r="E30" t="str">
        <f>PRODUCTION_TABLELIST[[#This Row],[テーブル名]]</f>
        <v>生産計画－工程－測定－項目－条件</v>
      </c>
    </row>
    <row r="31" spans="1:5" x14ac:dyDescent="0.15">
      <c r="A31">
        <f t="shared" si="0"/>
        <v>30</v>
      </c>
      <c r="B31" t="s">
        <v>191</v>
      </c>
      <c r="C31" t="str">
        <f>IF(ISNA( VLOOKUP(D31,テーブル一覧!$A$2:$B$313,2,FALSE)),"",VLOOKUP(D31,テーブル一覧!$A$2:$B$313,2,FALSE))</f>
        <v>生産計画－工程－測定－項目－条件－計画値</v>
      </c>
      <c r="D31" s="1" t="s">
        <v>501</v>
      </c>
      <c r="E31" t="str">
        <f>PRODUCTION_TABLELIST[[#This Row],[テーブル名]]</f>
        <v>生産計画－工程－測定－項目－条件－計画値</v>
      </c>
    </row>
    <row r="32" spans="1:5" x14ac:dyDescent="0.15">
      <c r="A32">
        <f t="shared" si="0"/>
        <v>31</v>
      </c>
      <c r="B32" t="s">
        <v>191</v>
      </c>
      <c r="C32" t="str">
        <f>IF(ISNA( VLOOKUP(D32,テーブル一覧!$A$2:$B$313,2,FALSE)),"",VLOOKUP(D32,テーブル一覧!$A$2:$B$313,2,FALSE))</f>
        <v>生産計画－生産異常</v>
      </c>
      <c r="D32" s="1" t="s">
        <v>502</v>
      </c>
      <c r="E32" t="str">
        <f>PRODUCTION_TABLELIST[[#This Row],[テーブル名]]</f>
        <v>生産計画－生産異常</v>
      </c>
    </row>
    <row r="33" spans="1:5" x14ac:dyDescent="0.15">
      <c r="A33">
        <f t="shared" si="0"/>
        <v>32</v>
      </c>
      <c r="B33" t="s">
        <v>191</v>
      </c>
      <c r="C33" t="str">
        <f>IF(ISNA( VLOOKUP(D33,テーブル一覧!$A$2:$B$313,2,FALSE)),"",VLOOKUP(D33,テーブル一覧!$A$2:$B$313,2,FALSE))</f>
        <v>生産計画－生産異常項目</v>
      </c>
      <c r="D33" s="1" t="s">
        <v>505</v>
      </c>
      <c r="E33" t="str">
        <f>PRODUCTION_TABLELIST[[#This Row],[テーブル名]]</f>
        <v>生産計画－生産異常項目</v>
      </c>
    </row>
    <row r="34" spans="1:5" x14ac:dyDescent="0.15">
      <c r="A34">
        <f t="shared" si="0"/>
        <v>33</v>
      </c>
      <c r="B34" t="s">
        <v>191</v>
      </c>
      <c r="C34" t="str">
        <f>IF(ISNA( VLOOKUP(D34,テーブル一覧!$A$2:$B$313,2,FALSE)),"",VLOOKUP(D34,テーブル一覧!$A$2:$B$313,2,FALSE))</f>
        <v>生産計画－生産異常－異常ランク</v>
      </c>
      <c r="D34" s="1" t="s">
        <v>508</v>
      </c>
      <c r="E34" t="str">
        <f>PRODUCTION_TABLELIST[[#This Row],[テーブル名]]</f>
        <v>生産計画－生産異常－異常ランク</v>
      </c>
    </row>
    <row r="35" spans="1:5" x14ac:dyDescent="0.15">
      <c r="A35">
        <f t="shared" si="0"/>
        <v>34</v>
      </c>
      <c r="B35" t="s">
        <v>191</v>
      </c>
      <c r="C35" t="str">
        <f>IF(ISNA( VLOOKUP(D35,テーブル一覧!$A$2:$B$313,2,FALSE)),"",VLOOKUP(D35,テーブル一覧!$A$2:$B$313,2,FALSE))</f>
        <v>生産計画－生産異常－ライン落ち</v>
      </c>
      <c r="D35" s="1" t="s">
        <v>510</v>
      </c>
      <c r="E35" t="str">
        <f>PRODUCTION_TABLELIST[[#This Row],[テーブル名]]</f>
        <v>生産計画－生産異常－ライン落ち</v>
      </c>
    </row>
    <row r="36" spans="1:5" x14ac:dyDescent="0.15">
      <c r="A36">
        <f t="shared" si="0"/>
        <v>35</v>
      </c>
      <c r="B36" t="s">
        <v>191</v>
      </c>
      <c r="C36" t="str">
        <f>IF(ISNA( VLOOKUP(D36,テーブル一覧!$A$2:$B$313,2,FALSE)),"",VLOOKUP(D36,テーブル一覧!$A$2:$B$313,2,FALSE))</f>
        <v>生産計画－生産異常－何変</v>
      </c>
      <c r="D36" s="1" t="s">
        <v>512</v>
      </c>
      <c r="E36" t="str">
        <f>PRODUCTION_TABLELIST[[#This Row],[テーブル名]]</f>
        <v>生産計画－生産異常－何変</v>
      </c>
    </row>
    <row r="37" spans="1:5" x14ac:dyDescent="0.15">
      <c r="A37">
        <f t="shared" si="0"/>
        <v>36</v>
      </c>
      <c r="B37" t="s">
        <v>191</v>
      </c>
      <c r="C37" t="str">
        <f>IF(ISNA( VLOOKUP(D37,テーブル一覧!$A$2:$B$313,2,FALSE)),"",VLOOKUP(D37,テーブル一覧!$A$2:$B$313,2,FALSE))</f>
        <v>生産計画－生産異常－不再現</v>
      </c>
      <c r="D37" s="1" t="s">
        <v>515</v>
      </c>
      <c r="E37" t="str">
        <f>PRODUCTION_TABLELIST[[#This Row],[テーブル名]]</f>
        <v>生産計画－生産異常－不再現</v>
      </c>
    </row>
    <row r="38" spans="1:5" x14ac:dyDescent="0.15">
      <c r="A38">
        <f t="shared" si="0"/>
        <v>37</v>
      </c>
      <c r="B38" t="s">
        <v>191</v>
      </c>
      <c r="C38" t="str">
        <f>IF(ISNA( VLOOKUP(D38,テーブル一覧!$A$2:$B$313,2,FALSE)),"",VLOOKUP(D38,テーブル一覧!$A$2:$B$313,2,FALSE))</f>
        <v>生産計画－生産異常－発見区</v>
      </c>
      <c r="D38" s="1" t="s">
        <v>516</v>
      </c>
      <c r="E38" t="str">
        <f>PRODUCTION_TABLELIST[[#This Row],[テーブル名]]</f>
        <v>生産計画－生産異常－発見区</v>
      </c>
    </row>
    <row r="39" spans="1:5" x14ac:dyDescent="0.15">
      <c r="A39">
        <f t="shared" si="0"/>
        <v>38</v>
      </c>
      <c r="B39" t="s">
        <v>191</v>
      </c>
      <c r="C39" t="str">
        <f>IF(ISNA( VLOOKUP(D39,テーブル一覧!$A$2:$B$313,2,FALSE)),"",VLOOKUP(D39,テーブル一覧!$A$2:$B$313,2,FALSE))</f>
        <v>生産計画－生産異常－責任区</v>
      </c>
      <c r="D39" s="1" t="s">
        <v>518</v>
      </c>
      <c r="E39" t="str">
        <f>PRODUCTION_TABLELIST[[#This Row],[テーブル名]]</f>
        <v>生産計画－生産異常－責任区</v>
      </c>
    </row>
    <row r="40" spans="1:5" x14ac:dyDescent="0.15">
      <c r="A40">
        <f t="shared" si="0"/>
        <v>39</v>
      </c>
      <c r="B40" t="s">
        <v>191</v>
      </c>
      <c r="C40" t="str">
        <f>IF(ISNA( VLOOKUP(D40,テーブル一覧!$A$2:$B$313,2,FALSE)),"",VLOOKUP(D40,テーブル一覧!$A$2:$B$313,2,FALSE))</f>
        <v>生産計画－生産異常－発生区</v>
      </c>
      <c r="D40" s="1" t="s">
        <v>520</v>
      </c>
      <c r="E40" t="str">
        <f>PRODUCTION_TABLELIST[[#This Row],[テーブル名]]</f>
        <v>生産計画－生産異常－発生区</v>
      </c>
    </row>
    <row r="41" spans="1:5" x14ac:dyDescent="0.15">
      <c r="A41">
        <f t="shared" si="0"/>
        <v>40</v>
      </c>
      <c r="B41" t="s">
        <v>191</v>
      </c>
      <c r="C41" t="str">
        <f>IF(ISNA( VLOOKUP(D41,テーブル一覧!$A$2:$B$313,2,FALSE)),"",VLOOKUP(D41,テーブル一覧!$A$2:$B$313,2,FALSE))</f>
        <v>生産計画－生産異常－効果確認判定</v>
      </c>
      <c r="D41" s="1" t="s">
        <v>522</v>
      </c>
      <c r="E41" t="str">
        <f>PRODUCTION_TABLELIST[[#This Row],[テーブル名]]</f>
        <v>生産計画－生産異常－効果確認判定</v>
      </c>
    </row>
    <row r="42" spans="1:5" x14ac:dyDescent="0.15">
      <c r="A42">
        <f t="shared" si="0"/>
        <v>41</v>
      </c>
      <c r="B42" t="s">
        <v>191</v>
      </c>
      <c r="C42" t="str">
        <f>IF(ISNA( VLOOKUP(D42,テーブル一覧!$A$2:$B$313,2,FALSE)),"",VLOOKUP(D42,テーブル一覧!$A$2:$B$313,2,FALSE))</f>
        <v>生産計画－生産異常－異常区分</v>
      </c>
      <c r="D42" s="1" t="s">
        <v>524</v>
      </c>
      <c r="E42" t="str">
        <f>PRODUCTION_TABLELIST[[#This Row],[テーブル名]]</f>
        <v>生産計画－生産異常－異常区分</v>
      </c>
    </row>
    <row r="43" spans="1:5" x14ac:dyDescent="0.15">
      <c r="A43">
        <f t="shared" si="0"/>
        <v>42</v>
      </c>
      <c r="B43" t="s">
        <v>191</v>
      </c>
      <c r="C43" t="str">
        <f>IF(ISNA( VLOOKUP(D43,テーブル一覧!$A$2:$B$313,2,FALSE)),"",VLOOKUP(D43,テーブル一覧!$A$2:$B$313,2,FALSE))</f>
        <v>生産計画－生産異常－処置分類</v>
      </c>
      <c r="D43" s="1" t="s">
        <v>532</v>
      </c>
      <c r="E43" t="str">
        <f>PRODUCTION_TABLELIST[[#This Row],[テーブル名]]</f>
        <v>生産計画－生産異常－処置分類</v>
      </c>
    </row>
    <row r="44" spans="1:5" x14ac:dyDescent="0.15">
      <c r="A44">
        <f t="shared" si="0"/>
        <v>43</v>
      </c>
      <c r="B44" t="s">
        <v>191</v>
      </c>
      <c r="C44" t="str">
        <f>IF(ISNA( VLOOKUP(D44,テーブル一覧!$A$2:$B$313,2,FALSE)),"",VLOOKUP(D44,テーブル一覧!$A$2:$B$313,2,FALSE))</f>
        <v>生産計画－生産異常－発生原因分類</v>
      </c>
      <c r="D44" s="1" t="s">
        <v>535</v>
      </c>
      <c r="E44" t="str">
        <f>PRODUCTION_TABLELIST[[#This Row],[テーブル名]]</f>
        <v>生産計画－生産異常－発生原因分類</v>
      </c>
    </row>
    <row r="45" spans="1:5" x14ac:dyDescent="0.15">
      <c r="A45">
        <f t="shared" si="0"/>
        <v>44</v>
      </c>
      <c r="B45" t="s">
        <v>191</v>
      </c>
      <c r="C45" t="str">
        <f>IF(ISNA( VLOOKUP(D45,テーブル一覧!$A$2:$B$313,2,FALSE)),"",VLOOKUP(D45,テーブル一覧!$A$2:$B$313,2,FALSE))</f>
        <v>生産計画－生産異常－発生対策分類</v>
      </c>
      <c r="D45" s="1" t="s">
        <v>539</v>
      </c>
      <c r="E45" t="str">
        <f>PRODUCTION_TABLELIST[[#This Row],[テーブル名]]</f>
        <v>生産計画－生産異常－発生対策分類</v>
      </c>
    </row>
    <row r="46" spans="1:5" x14ac:dyDescent="0.15">
      <c r="A46">
        <f t="shared" si="0"/>
        <v>45</v>
      </c>
      <c r="B46" t="s">
        <v>191</v>
      </c>
      <c r="C46" t="str">
        <f>IF(ISNA( VLOOKUP(D46,テーブル一覧!$A$2:$B$313,2,FALSE)),"",VLOOKUP(D46,テーブル一覧!$A$2:$B$313,2,FALSE))</f>
        <v>生産計画－生産異常－流出原因分類</v>
      </c>
      <c r="D46" s="1" t="s">
        <v>540</v>
      </c>
      <c r="E46" t="str">
        <f>PRODUCTION_TABLELIST[[#This Row],[テーブル名]]</f>
        <v>生産計画－生産異常－流出原因分類</v>
      </c>
    </row>
    <row r="47" spans="1:5" x14ac:dyDescent="0.15">
      <c r="A47">
        <f t="shared" si="0"/>
        <v>46</v>
      </c>
      <c r="B47" t="s">
        <v>191</v>
      </c>
      <c r="C47" t="str">
        <f>IF(ISNA( VLOOKUP(D47,テーブル一覧!$A$2:$B$313,2,FALSE)),"",VLOOKUP(D47,テーブル一覧!$A$2:$B$313,2,FALSE))</f>
        <v>生産計画－生産異常－流出対策分類</v>
      </c>
      <c r="D47" s="1" t="s">
        <v>542</v>
      </c>
      <c r="E47" t="str">
        <f>PRODUCTION_TABLELIST[[#This Row],[テーブル名]]</f>
        <v>生産計画－生産異常－流出対策分類</v>
      </c>
    </row>
    <row r="48" spans="1:5" x14ac:dyDescent="0.15">
      <c r="A48">
        <f t="shared" si="0"/>
        <v>47</v>
      </c>
      <c r="B48" t="s">
        <v>191</v>
      </c>
      <c r="C48" t="str">
        <f>IF(ISNA( VLOOKUP(D48,テーブル一覧!$A$2:$B$313,2,FALSE)),"",VLOOKUP(D48,テーブル一覧!$A$2:$B$313,2,FALSE))</f>
        <v>生産計画－生産異常－効果確認内容</v>
      </c>
      <c r="D48" s="1" t="s">
        <v>543</v>
      </c>
      <c r="E48" t="str">
        <f>PRODUCTION_TABLELIST[[#This Row],[テーブル名]]</f>
        <v>生産計画－生産異常－効果確認内容</v>
      </c>
    </row>
    <row r="49" spans="1:5" x14ac:dyDescent="0.15">
      <c r="A49">
        <f t="shared" si="0"/>
        <v>48</v>
      </c>
      <c r="B49" t="s">
        <v>191</v>
      </c>
      <c r="C49" t="str">
        <f>IF(ISNA( VLOOKUP(D49,テーブル一覧!$A$2:$B$313,2,FALSE)),"",VLOOKUP(D49,テーブル一覧!$A$2:$B$313,2,FALSE))</f>
        <v>生産計画－品質異常</v>
      </c>
      <c r="D49" s="1" t="s">
        <v>548</v>
      </c>
      <c r="E49" t="str">
        <f>PRODUCTION_TABLELIST[[#This Row],[テーブル名]]</f>
        <v>生産計画－品質異常</v>
      </c>
    </row>
    <row r="50" spans="1:5" x14ac:dyDescent="0.15">
      <c r="A50">
        <f t="shared" si="0"/>
        <v>49</v>
      </c>
      <c r="B50" t="s">
        <v>191</v>
      </c>
      <c r="C50" t="str">
        <f>IF(ISNA( VLOOKUP(D50,テーブル一覧!$A$2:$B$313,2,FALSE)),"",VLOOKUP(D50,テーブル一覧!$A$2:$B$313,2,FALSE))</f>
        <v>生産計画－品質異常項目</v>
      </c>
      <c r="D50" s="1" t="s">
        <v>550</v>
      </c>
      <c r="E50" t="str">
        <f>PRODUCTION_TABLELIST[[#This Row],[テーブル名]]</f>
        <v>生産計画－品質異常項目</v>
      </c>
    </row>
    <row r="51" spans="1:5" x14ac:dyDescent="0.15">
      <c r="A51">
        <f t="shared" si="0"/>
        <v>50</v>
      </c>
      <c r="B51" t="s">
        <v>191</v>
      </c>
      <c r="C51" t="str">
        <f>IF(ISNA( VLOOKUP(D51,テーブル一覧!$A$2:$B$313,2,FALSE)),"",VLOOKUP(D51,テーブル一覧!$A$2:$B$313,2,FALSE))</f>
        <v>生産計画－品質異常－異常ランク</v>
      </c>
      <c r="D51" s="1" t="s">
        <v>552</v>
      </c>
      <c r="E51" t="str">
        <f>PRODUCTION_TABLELIST[[#This Row],[テーブル名]]</f>
        <v>生産計画－品質異常－異常ランク</v>
      </c>
    </row>
    <row r="52" spans="1:5" x14ac:dyDescent="0.15">
      <c r="A52">
        <f t="shared" si="0"/>
        <v>51</v>
      </c>
      <c r="B52" t="s">
        <v>191</v>
      </c>
      <c r="C52" t="str">
        <f>IF(ISNA( VLOOKUP(D52,テーブル一覧!$A$2:$B$313,2,FALSE)),"",VLOOKUP(D52,テーブル一覧!$A$2:$B$313,2,FALSE))</f>
        <v>生産計画－品質異常－ライン落ち</v>
      </c>
      <c r="D52" s="1" t="s">
        <v>554</v>
      </c>
      <c r="E52" t="str">
        <f>PRODUCTION_TABLELIST[[#This Row],[テーブル名]]</f>
        <v>生産計画－品質異常－ライン落ち</v>
      </c>
    </row>
    <row r="53" spans="1:5" x14ac:dyDescent="0.15">
      <c r="A53">
        <f t="shared" si="0"/>
        <v>52</v>
      </c>
      <c r="B53" t="s">
        <v>191</v>
      </c>
      <c r="C53" t="str">
        <f>IF(ISNA( VLOOKUP(D53,テーブル一覧!$A$2:$B$313,2,FALSE)),"",VLOOKUP(D53,テーブル一覧!$A$2:$B$313,2,FALSE))</f>
        <v>生産計画－品質異常－何変</v>
      </c>
      <c r="D53" s="1" t="s">
        <v>556</v>
      </c>
      <c r="E53" t="str">
        <f>PRODUCTION_TABLELIST[[#This Row],[テーブル名]]</f>
        <v>生産計画－品質異常－何変</v>
      </c>
    </row>
    <row r="54" spans="1:5" x14ac:dyDescent="0.15">
      <c r="A54">
        <f t="shared" si="0"/>
        <v>53</v>
      </c>
      <c r="B54" t="s">
        <v>191</v>
      </c>
      <c r="C54" t="str">
        <f>IF(ISNA( VLOOKUP(D54,テーブル一覧!$A$2:$B$313,2,FALSE)),"",VLOOKUP(D54,テーブル一覧!$A$2:$B$313,2,FALSE))</f>
        <v>生産計画－品質異常－不再現</v>
      </c>
      <c r="D54" s="1" t="s">
        <v>558</v>
      </c>
      <c r="E54" t="str">
        <f>PRODUCTION_TABLELIST[[#This Row],[テーブル名]]</f>
        <v>生産計画－品質異常－不再現</v>
      </c>
    </row>
    <row r="55" spans="1:5" x14ac:dyDescent="0.15">
      <c r="A55">
        <f t="shared" si="0"/>
        <v>54</v>
      </c>
      <c r="B55" t="s">
        <v>191</v>
      </c>
      <c r="C55" t="str">
        <f>IF(ISNA( VLOOKUP(D55,テーブル一覧!$A$2:$B$313,2,FALSE)),"",VLOOKUP(D55,テーブル一覧!$A$2:$B$313,2,FALSE))</f>
        <v>生産計画－品質異常－発見区</v>
      </c>
      <c r="D55" s="1" t="s">
        <v>559</v>
      </c>
      <c r="E55" t="str">
        <f>PRODUCTION_TABLELIST[[#This Row],[テーブル名]]</f>
        <v>生産計画－品質異常－発見区</v>
      </c>
    </row>
    <row r="56" spans="1:5" x14ac:dyDescent="0.15">
      <c r="A56">
        <f t="shared" si="0"/>
        <v>55</v>
      </c>
      <c r="B56" t="s">
        <v>191</v>
      </c>
      <c r="C56" t="str">
        <f>IF(ISNA( VLOOKUP(D56,テーブル一覧!$A$2:$B$313,2,FALSE)),"",VLOOKUP(D56,テーブル一覧!$A$2:$B$313,2,FALSE))</f>
        <v>生産計画－品質異常－責任区</v>
      </c>
      <c r="D56" s="1" t="s">
        <v>560</v>
      </c>
      <c r="E56" t="str">
        <f>PRODUCTION_TABLELIST[[#This Row],[テーブル名]]</f>
        <v>生産計画－品質異常－責任区</v>
      </c>
    </row>
    <row r="57" spans="1:5" x14ac:dyDescent="0.15">
      <c r="A57">
        <f t="shared" si="0"/>
        <v>56</v>
      </c>
      <c r="B57" t="s">
        <v>191</v>
      </c>
      <c r="C57" t="str">
        <f>IF(ISNA( VLOOKUP(D57,テーブル一覧!$A$2:$B$313,2,FALSE)),"",VLOOKUP(D57,テーブル一覧!$A$2:$B$313,2,FALSE))</f>
        <v>生産計画－品質異常－発生区</v>
      </c>
      <c r="D57" s="1" t="s">
        <v>561</v>
      </c>
      <c r="E57" t="str">
        <f>PRODUCTION_TABLELIST[[#This Row],[テーブル名]]</f>
        <v>生産計画－品質異常－発生区</v>
      </c>
    </row>
    <row r="58" spans="1:5" x14ac:dyDescent="0.15">
      <c r="A58">
        <f t="shared" si="0"/>
        <v>57</v>
      </c>
      <c r="B58" t="s">
        <v>191</v>
      </c>
      <c r="C58" t="str">
        <f>IF(ISNA( VLOOKUP(D58,テーブル一覧!$A$2:$B$313,2,FALSE)),"",VLOOKUP(D58,テーブル一覧!$A$2:$B$313,2,FALSE))</f>
        <v>生産計画－品質異常－効果確認判定</v>
      </c>
      <c r="D58" s="1" t="s">
        <v>562</v>
      </c>
      <c r="E58" t="str">
        <f>PRODUCTION_TABLELIST[[#This Row],[テーブル名]]</f>
        <v>生産計画－品質異常－効果確認判定</v>
      </c>
    </row>
    <row r="59" spans="1:5" x14ac:dyDescent="0.15">
      <c r="A59">
        <f t="shared" si="0"/>
        <v>58</v>
      </c>
      <c r="B59" t="s">
        <v>191</v>
      </c>
      <c r="C59" t="str">
        <f>IF(ISNA( VLOOKUP(D59,テーブル一覧!$A$2:$B$313,2,FALSE)),"",VLOOKUP(D59,テーブル一覧!$A$2:$B$313,2,FALSE))</f>
        <v>生産計画－品質異常－異常区分</v>
      </c>
      <c r="D59" s="1" t="s">
        <v>563</v>
      </c>
      <c r="E59" t="str">
        <f>PRODUCTION_TABLELIST[[#This Row],[テーブル名]]</f>
        <v>生産計画－品質異常－異常区分</v>
      </c>
    </row>
    <row r="60" spans="1:5" x14ac:dyDescent="0.15">
      <c r="A60">
        <f t="shared" si="0"/>
        <v>59</v>
      </c>
      <c r="B60" t="s">
        <v>191</v>
      </c>
      <c r="C60" t="str">
        <f>IF(ISNA( VLOOKUP(D60,テーブル一覧!$A$2:$B$313,2,FALSE)),"",VLOOKUP(D60,テーブル一覧!$A$2:$B$313,2,FALSE))</f>
        <v>生産計画－品質異常－処置分類</v>
      </c>
      <c r="D60" s="1" t="s">
        <v>564</v>
      </c>
      <c r="E60" t="str">
        <f>PRODUCTION_TABLELIST[[#This Row],[テーブル名]]</f>
        <v>生産計画－品質異常－処置分類</v>
      </c>
    </row>
    <row r="61" spans="1:5" x14ac:dyDescent="0.15">
      <c r="A61">
        <f t="shared" si="0"/>
        <v>60</v>
      </c>
      <c r="B61" t="s">
        <v>191</v>
      </c>
      <c r="C61" t="str">
        <f>IF(ISNA( VLOOKUP(D61,テーブル一覧!$A$2:$B$313,2,FALSE)),"",VLOOKUP(D61,テーブル一覧!$A$2:$B$313,2,FALSE))</f>
        <v>生産計画－品質異常－発生原因分類</v>
      </c>
      <c r="D61" s="1" t="s">
        <v>565</v>
      </c>
      <c r="E61" t="str">
        <f>PRODUCTION_TABLELIST[[#This Row],[テーブル名]]</f>
        <v>生産計画－品質異常－発生原因分類</v>
      </c>
    </row>
    <row r="62" spans="1:5" x14ac:dyDescent="0.15">
      <c r="A62">
        <f t="shared" si="0"/>
        <v>61</v>
      </c>
      <c r="B62" t="s">
        <v>191</v>
      </c>
      <c r="C62" t="str">
        <f>IF(ISNA( VLOOKUP(D62,テーブル一覧!$A$2:$B$313,2,FALSE)),"",VLOOKUP(D62,テーブル一覧!$A$2:$B$313,2,FALSE))</f>
        <v>生産計画－品質異常－発生対策分類</v>
      </c>
      <c r="D62" s="1" t="s">
        <v>566</v>
      </c>
      <c r="E62" t="str">
        <f>PRODUCTION_TABLELIST[[#This Row],[テーブル名]]</f>
        <v>生産計画－品質異常－発生対策分類</v>
      </c>
    </row>
    <row r="63" spans="1:5" x14ac:dyDescent="0.15">
      <c r="A63">
        <f t="shared" si="0"/>
        <v>62</v>
      </c>
      <c r="B63" t="s">
        <v>191</v>
      </c>
      <c r="C63" t="str">
        <f>IF(ISNA( VLOOKUP(D63,テーブル一覧!$A$2:$B$313,2,FALSE)),"",VLOOKUP(D63,テーブル一覧!$A$2:$B$313,2,FALSE))</f>
        <v>生産計画－品質異常－流出原因分類</v>
      </c>
      <c r="D63" s="1" t="s">
        <v>567</v>
      </c>
      <c r="E63" t="str">
        <f>PRODUCTION_TABLELIST[[#This Row],[テーブル名]]</f>
        <v>生産計画－品質異常－流出原因分類</v>
      </c>
    </row>
    <row r="64" spans="1:5" x14ac:dyDescent="0.15">
      <c r="A64">
        <f t="shared" si="0"/>
        <v>63</v>
      </c>
      <c r="B64" t="s">
        <v>191</v>
      </c>
      <c r="C64" t="str">
        <f>IF(ISNA( VLOOKUP(D64,テーブル一覧!$A$2:$B$313,2,FALSE)),"",VLOOKUP(D64,テーブル一覧!$A$2:$B$313,2,FALSE))</f>
        <v>生産計画－品質異常－流出対策分類</v>
      </c>
      <c r="D64" s="1" t="s">
        <v>568</v>
      </c>
      <c r="E64" t="str">
        <f>PRODUCTION_TABLELIST[[#This Row],[テーブル名]]</f>
        <v>生産計画－品質異常－流出対策分類</v>
      </c>
    </row>
    <row r="65" spans="1:5" x14ac:dyDescent="0.15">
      <c r="A65">
        <f t="shared" si="0"/>
        <v>64</v>
      </c>
      <c r="B65" t="s">
        <v>191</v>
      </c>
      <c r="C65" t="str">
        <f>IF(ISNA( VLOOKUP(D65,テーブル一覧!$A$2:$B$313,2,FALSE)),"",VLOOKUP(D65,テーブル一覧!$A$2:$B$313,2,FALSE))</f>
        <v>生産計画－品質異常－効果確認内容</v>
      </c>
      <c r="D65" s="1" t="s">
        <v>569</v>
      </c>
      <c r="E65" t="str">
        <f>PRODUCTION_TABLELIST[[#This Row],[テーブル名]]</f>
        <v>生産計画－品質異常－効果確認内容</v>
      </c>
    </row>
    <row r="66" spans="1:5" x14ac:dyDescent="0.15">
      <c r="A66">
        <f t="shared" si="0"/>
        <v>65</v>
      </c>
      <c r="B66" t="s">
        <v>191</v>
      </c>
      <c r="C66" t="str">
        <f>IF(ISNA( VLOOKUP(D66,テーブル一覧!$A$2:$B$313,2,FALSE)),"",VLOOKUP(D66,テーブル一覧!$A$2:$B$313,2,FALSE))</f>
        <v>品質異常・対応実績</v>
      </c>
      <c r="D66" s="1" t="s">
        <v>587</v>
      </c>
      <c r="E66" t="str">
        <f>PRODUCTION_TABLELIST[[#This Row],[テーブル名]]</f>
        <v>品質異常・対応実績</v>
      </c>
    </row>
    <row r="67" spans="1:5" x14ac:dyDescent="0.15">
      <c r="A67">
        <f t="shared" si="0"/>
        <v>66</v>
      </c>
      <c r="B67" t="s">
        <v>191</v>
      </c>
      <c r="C67" t="str">
        <f>IF(ISNA( VLOOKUP(D67,テーブル一覧!$A$2:$B$313,2,FALSE)),"",VLOOKUP(D67,テーブル一覧!$A$2:$B$313,2,FALSE))</f>
        <v>生産異常・対応実績</v>
      </c>
      <c r="D67" s="1" t="s">
        <v>468</v>
      </c>
      <c r="E67" t="str">
        <f>PRODUCTION_TABLELIST[[#This Row],[テーブル名]]</f>
        <v>生産異常・対応実績</v>
      </c>
    </row>
    <row r="68" spans="1:5" x14ac:dyDescent="0.15">
      <c r="A68">
        <f t="shared" si="0"/>
        <v>67</v>
      </c>
      <c r="B68" t="s">
        <v>191</v>
      </c>
      <c r="C68" t="str">
        <f>IF(ISNA( VLOOKUP(D68,テーブル一覧!$A$2:$B$313,2,FALSE)),"",VLOOKUP(D68,テーブル一覧!$A$2:$B$313,2,FALSE))</f>
        <v>生産実績－状況</v>
      </c>
      <c r="D68" s="1" t="s">
        <v>469</v>
      </c>
      <c r="E68" t="str">
        <f>PRODUCTION_TABLELIST[[#This Row],[テーブル名]]</f>
        <v>生産実績－状況</v>
      </c>
    </row>
    <row r="69" spans="1:5" x14ac:dyDescent="0.15">
      <c r="A69">
        <f t="shared" si="0"/>
        <v>68</v>
      </c>
      <c r="B69" t="s">
        <v>191</v>
      </c>
      <c r="C69" t="str">
        <f>IF(ISNA( VLOOKUP(D69,テーブル一覧!$A$2:$B$313,2,FALSE)),"",VLOOKUP(D69,テーブル一覧!$A$2:$B$313,2,FALSE))</f>
        <v>生産実績－段取</v>
      </c>
      <c r="D69" s="1" t="s">
        <v>404</v>
      </c>
      <c r="E69" t="str">
        <f>PRODUCTION_TABLELIST[[#This Row],[テーブル名]]</f>
        <v>生産実績－段取</v>
      </c>
    </row>
    <row r="70" spans="1:5" x14ac:dyDescent="0.15">
      <c r="A70">
        <f t="shared" si="0"/>
        <v>69</v>
      </c>
      <c r="B70" t="s">
        <v>191</v>
      </c>
      <c r="C70" t="str">
        <f>IF(ISNA( VLOOKUP(D70,テーブル一覧!$A$2:$B$313,2,FALSE)),"",VLOOKUP(D70,テーブル一覧!$A$2:$B$313,2,FALSE))</f>
        <v>生産実績－工程別実績</v>
      </c>
      <c r="D70" s="1" t="s">
        <v>406</v>
      </c>
      <c r="E70" t="str">
        <f>PRODUCTION_TABLELIST[[#This Row],[テーブル名]]</f>
        <v>生産実績－工程別実績</v>
      </c>
    </row>
    <row r="71" spans="1:5" x14ac:dyDescent="0.15">
      <c r="A71">
        <f t="shared" si="0"/>
        <v>70</v>
      </c>
      <c r="B71" t="s">
        <v>191</v>
      </c>
      <c r="C71" t="str">
        <f>IF(ISNA( VLOOKUP(D71,テーブル一覧!$A$2:$B$313,2,FALSE)),"",VLOOKUP(D71,テーブル一覧!$A$2:$B$313,2,FALSE))</f>
        <v>生産明細－工程－構成</v>
      </c>
      <c r="D71" s="1" t="s">
        <v>470</v>
      </c>
      <c r="E71" t="str">
        <f>PRODUCTION_TABLELIST[[#This Row],[テーブル名]]</f>
        <v>生産明細－工程－構成</v>
      </c>
    </row>
    <row r="72" spans="1:5" x14ac:dyDescent="0.15">
      <c r="A72">
        <f t="shared" si="0"/>
        <v>71</v>
      </c>
      <c r="B72" t="s">
        <v>191</v>
      </c>
      <c r="C72" t="str">
        <f>IF(ISNA( VLOOKUP(D72,テーブル一覧!$A$2:$B$313,2,FALSE)),"",VLOOKUP(D72,テーブル一覧!$A$2:$B$313,2,FALSE))</f>
        <v>生産明細－工程－作業</v>
      </c>
      <c r="D72" s="1" t="s">
        <v>471</v>
      </c>
      <c r="E72" t="str">
        <f>PRODUCTION_TABLELIST[[#This Row],[テーブル名]]</f>
        <v>生産明細－工程－作業</v>
      </c>
    </row>
    <row r="73" spans="1:5" x14ac:dyDescent="0.15">
      <c r="A73">
        <f t="shared" si="0"/>
        <v>72</v>
      </c>
      <c r="B73" t="s">
        <v>191</v>
      </c>
      <c r="C73" t="str">
        <f>IF(ISNA( VLOOKUP(D73,テーブル一覧!$A$2:$B$313,2,FALSE)),"",VLOOKUP(D73,テーブル一覧!$A$2:$B$313,2,FALSE))</f>
        <v>生産明細－工程－検査</v>
      </c>
      <c r="D73" s="1" t="s">
        <v>472</v>
      </c>
      <c r="E73" t="str">
        <f>PRODUCTION_TABLELIST[[#This Row],[テーブル名]]</f>
        <v>生産明細－工程－検査</v>
      </c>
    </row>
    <row r="74" spans="1:5" x14ac:dyDescent="0.15">
      <c r="A74">
        <f t="shared" si="0"/>
        <v>73</v>
      </c>
      <c r="B74" t="s">
        <v>191</v>
      </c>
      <c r="C74" t="str">
        <f>IF(ISNA( VLOOKUP(D74,テーブル一覧!$A$2:$B$313,2,FALSE)),"",VLOOKUP(D74,テーブル一覧!$A$2:$B$313,2,FALSE))</f>
        <v>生産明細－工程－測定</v>
      </c>
      <c r="D74" s="1" t="s">
        <v>477</v>
      </c>
      <c r="E74" t="str">
        <f>PRODUCTION_TABLELIST[[#This Row],[テーブル名]]</f>
        <v>生産明細－工程－測定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UsedRange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6</xdr:col>
                    <xdr:colOff>647700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51"/>
  <sheetViews>
    <sheetView workbookViewId="0">
      <selection activeCell="I14" sqref="I14"/>
    </sheetView>
  </sheetViews>
  <sheetFormatPr defaultRowHeight="13.5" x14ac:dyDescent="0.15"/>
  <cols>
    <col min="2" max="2" width="17.5" customWidth="1"/>
    <col min="3" max="3" width="17.25" bestFit="1" customWidth="1"/>
    <col min="4" max="4" width="31.125" bestFit="1" customWidth="1"/>
    <col min="5" max="5" width="44.875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713</v>
      </c>
      <c r="C2" t="str">
        <f>IF(ISNA( VLOOKUP(D2,旧テーブル一覧!$A$2:$B$313,2,FALSE)),"",VLOOKUP(D2,旧テーブル一覧!$A$2:$B$313,2,FALSE))</f>
        <v>設備稼働実績</v>
      </c>
      <c r="D2" s="1" t="s">
        <v>714</v>
      </c>
      <c r="E2" t="str">
        <f>CONCATENATE( SOURCE_OPERATION_TABLELIST[[#This Row],[テーブル名]],"(移行先)")</f>
        <v>設備稼働実績(移行先)</v>
      </c>
    </row>
    <row r="3" spans="1:5" x14ac:dyDescent="0.15">
      <c r="A3">
        <f t="shared" ref="A3:A6" si="0">ROW()-1</f>
        <v>2</v>
      </c>
      <c r="B3" t="s">
        <v>713</v>
      </c>
      <c r="C3" t="str">
        <f>IF(ISNA( VLOOKUP(D3,旧テーブル一覧!$A$2:$B$313,2,FALSE)),"",VLOOKUP(D3,旧テーブル一覧!$A$2:$B$313,2,FALSE))</f>
        <v>設備稼働実績明細</v>
      </c>
      <c r="D3" s="1" t="s">
        <v>685</v>
      </c>
      <c r="E3" t="str">
        <f>CONCATENATE( SOURCE_OPERATION_TABLELIST[[#This Row],[テーブル名]],"(移行先)")</f>
        <v>設備稼働実績明細(移行先)</v>
      </c>
    </row>
    <row r="4" spans="1:5" x14ac:dyDescent="0.15">
      <c r="A4">
        <f t="shared" si="0"/>
        <v>3</v>
      </c>
      <c r="B4" t="s">
        <v>713</v>
      </c>
      <c r="C4" t="str">
        <f>IF(ISNA( VLOOKUP(D4,旧テーブル一覧!$A$2:$B$313,2,FALSE)),"",VLOOKUP(D4,旧テーブル一覧!$A$2:$B$313,2,FALSE))</f>
        <v>設備点検実績</v>
      </c>
      <c r="D4" s="1" t="s">
        <v>686</v>
      </c>
      <c r="E4" t="str">
        <f>CONCATENATE( SOURCE_OPERATION_TABLELIST[[#This Row],[テーブル名]],"(移行先)")</f>
        <v>設備点検実績(移行先)</v>
      </c>
    </row>
    <row r="5" spans="1:5" x14ac:dyDescent="0.15">
      <c r="A5">
        <f t="shared" si="0"/>
        <v>4</v>
      </c>
      <c r="B5" t="s">
        <v>713</v>
      </c>
      <c r="C5" t="str">
        <f>IF(ISNA( VLOOKUP(D5,旧テーブル一覧!$A$2:$B$313,2,FALSE)),"",VLOOKUP(D5,旧テーブル一覧!$A$2:$B$313,2,FALSE))</f>
        <v>異常・対応実績</v>
      </c>
      <c r="D5" s="1" t="s">
        <v>681</v>
      </c>
      <c r="E5" t="str">
        <f>CONCATENATE( SOURCE_OPERATION_TABLELIST[[#This Row],[テーブル名]],"(移行先)")</f>
        <v>異常・対応実績(移行先)</v>
      </c>
    </row>
    <row r="6" spans="1:5" x14ac:dyDescent="0.15">
      <c r="A6">
        <f t="shared" si="0"/>
        <v>5</v>
      </c>
      <c r="B6" t="s">
        <v>715</v>
      </c>
      <c r="C6" t="str">
        <f>IF(ISNA( VLOOKUP(D6,旧テーブル一覧!$A$2:$B$313,2,FALSE)),"",VLOOKUP(D6,旧テーブル一覧!$A$2:$B$313,2,FALSE))</f>
        <v>設備能力明細</v>
      </c>
      <c r="D6" s="1" t="s">
        <v>717</v>
      </c>
      <c r="E6" t="str">
        <f>CONCATENATE( SOURCE_OPERATION_TABLELIST[[#This Row],[テーブル名]],"(移行先)")</f>
        <v>設備能力明細(移行先)</v>
      </c>
    </row>
    <row r="7" spans="1:5" x14ac:dyDescent="0.15">
      <c r="D7" s="1"/>
    </row>
    <row r="8" spans="1:5" x14ac:dyDescent="0.15">
      <c r="D8" s="1"/>
    </row>
    <row r="9" spans="1:5" x14ac:dyDescent="0.15">
      <c r="D9" s="1"/>
    </row>
    <row r="10" spans="1:5" x14ac:dyDescent="0.15">
      <c r="D10" s="1"/>
    </row>
    <row r="11" spans="1:5" x14ac:dyDescent="0.15">
      <c r="D11" s="1"/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t="str">
        <f>IF(ISNA( VLOOKUP(D45,旧テーブル一覧!$A$2:$B$313,2,FALSE)),"",VLOOKUP(D45,旧テーブル一覧!$A$2:$B$313,2,FALSE))</f>
        <v/>
      </c>
      <c r="D45" s="1"/>
    </row>
    <row r="46" spans="3:4" x14ac:dyDescent="0.15">
      <c r="C46" t="str">
        <f>IF(ISNA( VLOOKUP(D46,旧テーブル一覧!$A$2:$B$313,2,FALSE)),"",VLOOKUP(D46,旧テーブル一覧!$A$2:$B$313,2,FALSE))</f>
        <v/>
      </c>
      <c r="D46" s="1"/>
    </row>
    <row r="47" spans="3:4" x14ac:dyDescent="0.15">
      <c r="C47" t="str">
        <f>IF(ISNA( VLOOKUP(D47,旧テーブル一覧!$A$2:$B$313,2,FALSE)),"",VLOOKUP(D47,旧テーブル一覧!$A$2:$B$313,2,FALSE))</f>
        <v/>
      </c>
      <c r="D47" s="1"/>
    </row>
    <row r="48" spans="3:4" x14ac:dyDescent="0.15">
      <c r="C48" t="str">
        <f>IF(ISNA( VLOOKUP(D48,旧テーブル一覧!$A$2:$B$313,2,FALSE)),"",VLOOKUP(D48,旧テーブル一覧!$A$2:$B$313,2,FALSE))</f>
        <v/>
      </c>
      <c r="D48" s="1"/>
    </row>
    <row r="49" spans="3:4" x14ac:dyDescent="0.15">
      <c r="C49" t="str">
        <f>IF(ISNA( VLOOKUP(D49,旧テーブル一覧!$A$2:$B$313,2,FALSE)),"",VLOOKUP(D49,旧テーブル一覧!$A$2:$B$313,2,FALSE))</f>
        <v/>
      </c>
      <c r="D49" s="1"/>
    </row>
    <row r="50" spans="3:4" x14ac:dyDescent="0.15">
      <c r="C50" t="str">
        <f>IF(ISNA( VLOOKUP(D50,旧テーブル一覧!$A$2:$B$313,2,FALSE)),"",VLOOKUP(D50,旧テーブル一覧!$A$2:$B$313,2,FALSE))</f>
        <v/>
      </c>
      <c r="D50" s="1"/>
    </row>
    <row r="51" spans="3:4" x14ac:dyDescent="0.15">
      <c r="C51" t="str">
        <f>IF(ISNA( VLOOKUP(D51,旧テーブル一覧!$A$2:$B$313,2,FALSE)),"",VLOOKUP(D51,旧テーブル一覧!$A$2:$B$313,2,FALSE))</f>
        <v/>
      </c>
      <c r="D51" s="1"/>
    </row>
    <row r="52" spans="3:4" x14ac:dyDescent="0.15">
      <c r="C52" t="str">
        <f>IF(ISNA( VLOOKUP(D52,旧テーブル一覧!$A$2:$B$313,2,FALSE)),"",VLOOKUP(D52,旧テーブル一覧!$A$2:$B$313,2,FALSE))</f>
        <v/>
      </c>
      <c r="D52" s="1"/>
    </row>
    <row r="53" spans="3:4" x14ac:dyDescent="0.15">
      <c r="C53" t="str">
        <f>IF(ISNA( VLOOKUP(D53,旧テーブル一覧!$A$2:$B$313,2,FALSE)),"",VLOOKUP(D53,旧テーブル一覧!$A$2:$B$313,2,FALSE))</f>
        <v/>
      </c>
      <c r="D53" s="1"/>
    </row>
    <row r="54" spans="3:4" x14ac:dyDescent="0.15">
      <c r="C54" t="str">
        <f>IF(ISNA( VLOOKUP(D54,旧テーブル一覧!$A$2:$B$313,2,FALSE)),"",VLOOKUP(D54,旧テーブル一覧!$A$2:$B$313,2,FALSE))</f>
        <v/>
      </c>
      <c r="D54" s="1"/>
    </row>
    <row r="55" spans="3:4" x14ac:dyDescent="0.15">
      <c r="C55" t="str">
        <f>IF(ISNA( VLOOKUP(D55,旧テーブル一覧!$A$2:$B$313,2,FALSE)),"",VLOOKUP(D55,旧テーブル一覧!$A$2:$B$313,2,FALSE))</f>
        <v/>
      </c>
      <c r="D55" s="1"/>
    </row>
    <row r="56" spans="3:4" x14ac:dyDescent="0.15">
      <c r="C56" t="str">
        <f>IF(ISNA( VLOOKUP(D56,旧テーブル一覧!$A$2:$B$313,2,FALSE)),"",VLOOKUP(D56,旧テーブル一覧!$A$2:$B$313,2,FALSE))</f>
        <v/>
      </c>
      <c r="D56" s="1"/>
    </row>
    <row r="57" spans="3:4" x14ac:dyDescent="0.15">
      <c r="C57" t="str">
        <f>IF(ISNA( VLOOKUP(D57,旧テーブル一覧!$A$2:$B$313,2,FALSE)),"",VLOOKUP(D57,旧テーブル一覧!$A$2:$B$313,2,FALSE))</f>
        <v/>
      </c>
      <c r="D57" s="1"/>
    </row>
    <row r="58" spans="3:4" x14ac:dyDescent="0.15">
      <c r="C58" t="str">
        <f>IF(ISNA( VLOOKUP(D58,旧テーブル一覧!$A$2:$B$313,2,FALSE)),"",VLOOKUP(D58,旧テーブル一覧!$A$2:$B$313,2,FALSE))</f>
        <v/>
      </c>
      <c r="D58" s="1"/>
    </row>
    <row r="59" spans="3:4" x14ac:dyDescent="0.15">
      <c r="C59" t="str">
        <f>IF(ISNA( VLOOKUP(D59,旧テーブル一覧!$A$2:$B$313,2,FALSE)),"",VLOOKUP(D59,旧テーブル一覧!$A$2:$B$313,2,FALSE))</f>
        <v/>
      </c>
      <c r="D59" s="1"/>
    </row>
    <row r="60" spans="3:4" x14ac:dyDescent="0.15">
      <c r="C60" t="str">
        <f>IF(ISNA( VLOOKUP(D60,旧テーブル一覧!$A$2:$B$313,2,FALSE)),"",VLOOKUP(D60,旧テーブル一覧!$A$2:$B$313,2,FALSE))</f>
        <v/>
      </c>
      <c r="D60" s="1"/>
    </row>
    <row r="61" spans="3:4" x14ac:dyDescent="0.15">
      <c r="C61" t="str">
        <f>IF(ISNA( VLOOKUP(D61,旧テーブル一覧!$A$2:$B$313,2,FALSE)),"",VLOOKUP(D61,旧テーブル一覧!$A$2:$B$313,2,FALSE))</f>
        <v/>
      </c>
      <c r="D61" s="1"/>
    </row>
    <row r="62" spans="3:4" x14ac:dyDescent="0.15">
      <c r="C62" t="str">
        <f>IF(ISNA( VLOOKUP(D62,旧テーブル一覧!$A$2:$B$313,2,FALSE)),"",VLOOKUP(D62,旧テーブル一覧!$A$2:$B$313,2,FALSE))</f>
        <v/>
      </c>
      <c r="D62" s="1"/>
    </row>
    <row r="63" spans="3:4" x14ac:dyDescent="0.15">
      <c r="C63" t="str">
        <f>IF(ISNA( VLOOKUP(D63,旧テーブル一覧!$A$2:$B$313,2,FALSE)),"",VLOOKUP(D63,旧テーブル一覧!$A$2:$B$313,2,FALSE))</f>
        <v/>
      </c>
      <c r="D63" s="1"/>
    </row>
    <row r="64" spans="3:4" x14ac:dyDescent="0.15">
      <c r="C64" t="str">
        <f>IF(ISNA( VLOOKUP(D64,旧テーブル一覧!$A$2:$B$313,2,FALSE)),"",VLOOKUP(D64,旧テーブル一覧!$A$2:$B$313,2,FALSE))</f>
        <v/>
      </c>
      <c r="D64" s="1"/>
    </row>
    <row r="65" spans="3:4" x14ac:dyDescent="0.15">
      <c r="C65" t="str">
        <f>IF(ISNA( VLOOKUP(D65,旧テーブル一覧!$A$2:$B$313,2,FALSE)),"",VLOOKUP(D65,旧テーブル一覧!$A$2:$B$313,2,FALSE))</f>
        <v/>
      </c>
      <c r="D65" s="1"/>
    </row>
    <row r="66" spans="3:4" x14ac:dyDescent="0.15">
      <c r="C66" t="str">
        <f>IF(ISNA( VLOOKUP(D66,旧テーブル一覧!$A$2:$B$313,2,FALSE)),"",VLOOKUP(D66,旧テーブル一覧!$A$2:$B$313,2,FALSE))</f>
        <v/>
      </c>
      <c r="D66" s="1"/>
    </row>
    <row r="67" spans="3:4" x14ac:dyDescent="0.15">
      <c r="C67" t="str">
        <f>IF(ISNA( VLOOKUP(D67,旧テーブル一覧!$A$2:$B$313,2,FALSE)),"",VLOOKUP(D67,旧テーブル一覧!$A$2:$B$313,2,FALSE))</f>
        <v/>
      </c>
      <c r="D67" s="1"/>
    </row>
    <row r="68" spans="3:4" x14ac:dyDescent="0.15">
      <c r="C68" t="str">
        <f>IF(ISNA( VLOOKUP(D68,旧テーブル一覧!$A$2:$B$313,2,FALSE)),"",VLOOKUP(D68,旧テーブル一覧!$A$2:$B$313,2,FALSE))</f>
        <v/>
      </c>
      <c r="D68" s="1"/>
    </row>
    <row r="69" spans="3:4" x14ac:dyDescent="0.15">
      <c r="C69" t="str">
        <f>IF(ISNA( VLOOKUP(D69,旧テーブル一覧!$A$2:$B$313,2,FALSE)),"",VLOOKUP(D69,旧テーブル一覧!$A$2:$B$313,2,FALSE))</f>
        <v/>
      </c>
      <c r="D69" s="1"/>
    </row>
    <row r="70" spans="3:4" x14ac:dyDescent="0.15">
      <c r="C70" t="str">
        <f>IF(ISNA( VLOOKUP(D70,旧テーブル一覧!$A$2:$B$313,2,FALSE)),"",VLOOKUP(D70,旧テーブル一覧!$A$2:$B$313,2,FALSE))</f>
        <v/>
      </c>
      <c r="D70" s="1"/>
    </row>
    <row r="71" spans="3:4" x14ac:dyDescent="0.15">
      <c r="C71" t="str">
        <f>IF(ISNA( VLOOKUP(D71,旧テーブル一覧!$A$2:$B$313,2,FALSE)),"",VLOOKUP(D71,旧テーブル一覧!$A$2:$B$313,2,FALSE))</f>
        <v/>
      </c>
      <c r="D71" s="1"/>
    </row>
    <row r="72" spans="3:4" x14ac:dyDescent="0.15">
      <c r="C72" t="str">
        <f>IF(ISNA( VLOOKUP(D72,旧テーブル一覧!$A$2:$B$313,2,FALSE)),"",VLOOKUP(D72,旧テーブル一覧!$A$2:$B$313,2,FALSE))</f>
        <v/>
      </c>
    </row>
    <row r="73" spans="3:4" x14ac:dyDescent="0.15">
      <c r="C73" t="str">
        <f>IF(ISNA( VLOOKUP(D73,旧テーブル一覧!$A$2:$B$313,2,FALSE)),"",VLOOKUP(D73,旧テーブル一覧!$A$2:$B$313,2,FALSE))</f>
        <v/>
      </c>
    </row>
    <row r="74" spans="3:4" x14ac:dyDescent="0.15">
      <c r="C74" t="str">
        <f>IF(ISNA( VLOOKUP(D74,旧テーブル一覧!$A$2:$B$313,2,FALSE)),"",VLOOKUP(D74,旧テーブル一覧!$A$2:$B$313,2,FALSE))</f>
        <v/>
      </c>
    </row>
    <row r="75" spans="3:4" x14ac:dyDescent="0.15">
      <c r="C75" t="str">
        <f>IF(ISNA( VLOOKUP(D75,旧テーブル一覧!$A$2:$B$313,2,FALSE)),"",VLOOKUP(D75,旧テーブル一覧!$A$2:$B$313,2,FALSE))</f>
        <v/>
      </c>
    </row>
    <row r="76" spans="3:4" x14ac:dyDescent="0.15">
      <c r="C76" t="str">
        <f>IF(ISNA( VLOOKUP(D76,旧テーブル一覧!$A$2:$B$313,2,FALSE)),"",VLOOKUP(D76,旧テーブル一覧!$A$2:$B$313,2,FALSE))</f>
        <v/>
      </c>
    </row>
    <row r="77" spans="3:4" x14ac:dyDescent="0.15">
      <c r="C77" t="str">
        <f>IF(ISNA( VLOOKUP(D77,旧テーブル一覧!$A$2:$B$313,2,FALSE)),"",VLOOKUP(D77,旧テーブル一覧!$A$2:$B$313,2,FALSE))</f>
        <v/>
      </c>
    </row>
    <row r="78" spans="3:4" x14ac:dyDescent="0.15">
      <c r="C78" t="str">
        <f>IF(ISNA( VLOOKUP(D78,旧テーブル一覧!$A$2:$B$313,2,FALSE)),"",VLOOKUP(D78,旧テーブル一覧!$A$2:$B$313,2,FALSE))</f>
        <v/>
      </c>
    </row>
    <row r="79" spans="3:4" x14ac:dyDescent="0.15">
      <c r="C79" t="str">
        <f>IF(ISNA( VLOOKUP(D79,旧テーブル一覧!$A$2:$B$313,2,FALSE)),"",VLOOKUP(D79,旧テーブル一覧!$A$2:$B$313,2,FALSE))</f>
        <v/>
      </c>
    </row>
    <row r="80" spans="3:4" x14ac:dyDescent="0.15">
      <c r="C80" t="str">
        <f>IF(ISNA( VLOOKUP(D80,旧テーブル一覧!$A$2:$B$313,2,FALSE)),"",VLOOKUP(D80,旧テーブル一覧!$A$2:$B$313,2,FALSE))</f>
        <v/>
      </c>
    </row>
    <row r="81" spans="3:3" x14ac:dyDescent="0.15">
      <c r="C81" t="str">
        <f>IF(ISNA( VLOOKUP(D81,旧テーブル一覧!$A$2:$B$313,2,FALSE)),"",VLOOKUP(D81,旧テーブル一覧!$A$2:$B$313,2,FALSE))</f>
        <v/>
      </c>
    </row>
    <row r="82" spans="3:3" x14ac:dyDescent="0.15">
      <c r="C82" t="str">
        <f>IF(ISNA( VLOOKUP(D82,旧テーブル一覧!$A$2:$B$313,2,FALSE)),"",VLOOKUP(D82,旧テーブル一覧!$A$2:$B$313,2,FALSE))</f>
        <v/>
      </c>
    </row>
    <row r="83" spans="3:3" x14ac:dyDescent="0.15">
      <c r="C83" t="str">
        <f>IF(ISNA( VLOOKUP(D83,旧テーブル一覧!$A$2:$B$313,2,FALSE)),"",VLOOKUP(D83,旧テーブル一覧!$A$2:$B$313,2,FALSE))</f>
        <v/>
      </c>
    </row>
    <row r="84" spans="3:3" x14ac:dyDescent="0.15">
      <c r="C84" t="str">
        <f>IF(ISNA( VLOOKUP(D84,旧テーブル一覧!$A$2:$B$313,2,FALSE)),"",VLOOKUP(D84,旧テーブル一覧!$A$2:$B$313,2,FALSE))</f>
        <v/>
      </c>
    </row>
    <row r="85" spans="3:3" x14ac:dyDescent="0.15">
      <c r="C85" t="str">
        <f>IF(ISNA( VLOOKUP(D85,旧テーブル一覧!$A$2:$B$313,2,FALSE)),"",VLOOKUP(D85,旧テーブル一覧!$A$2:$B$313,2,FALSE))</f>
        <v/>
      </c>
    </row>
    <row r="86" spans="3:3" x14ac:dyDescent="0.15">
      <c r="C86" t="str">
        <f>IF(ISNA( VLOOKUP(D86,旧テーブル一覧!$A$2:$B$313,2,FALSE)),"",VLOOKUP(D86,旧テーブル一覧!$A$2:$B$313,2,FALSE))</f>
        <v/>
      </c>
    </row>
    <row r="87" spans="3:3" x14ac:dyDescent="0.15">
      <c r="C87" t="str">
        <f>IF(ISNA( VLOOKUP(D87,旧テーブル一覧!$A$2:$B$313,2,FALSE)),"",VLOOKUP(D87,旧テーブル一覧!$A$2:$B$313,2,FALSE))</f>
        <v/>
      </c>
    </row>
    <row r="88" spans="3:3" x14ac:dyDescent="0.15">
      <c r="C88" t="str">
        <f>IF(ISNA( VLOOKUP(D88,旧テーブル一覧!$A$2:$B$313,2,FALSE)),"",VLOOKUP(D88,旧テーブル一覧!$A$2:$B$313,2,FALSE))</f>
        <v/>
      </c>
    </row>
    <row r="89" spans="3:3" x14ac:dyDescent="0.15">
      <c r="C89" t="str">
        <f>IF(ISNA( VLOOKUP(D89,旧テーブル一覧!$A$2:$B$313,2,FALSE)),"",VLOOKUP(D89,旧テーブル一覧!$A$2:$B$313,2,FALSE))</f>
        <v/>
      </c>
    </row>
    <row r="90" spans="3:3" x14ac:dyDescent="0.15">
      <c r="C90" t="str">
        <f>IF(ISNA( VLOOKUP(D90,旧テーブル一覧!$A$2:$B$313,2,FALSE)),"",VLOOKUP(D90,旧テーブル一覧!$A$2:$B$313,2,FALSE))</f>
        <v/>
      </c>
    </row>
    <row r="91" spans="3:3" x14ac:dyDescent="0.15">
      <c r="C91" t="str">
        <f>IF(ISNA( VLOOKUP(D91,旧テーブル一覧!$A$2:$B$313,2,FALSE)),"",VLOOKUP(D91,旧テーブル一覧!$A$2:$B$313,2,FALSE))</f>
        <v/>
      </c>
    </row>
    <row r="92" spans="3:3" x14ac:dyDescent="0.15">
      <c r="C92" t="str">
        <f>IF(ISNA( VLOOKUP(D92,旧テーブル一覧!$A$2:$B$313,2,FALSE)),"",VLOOKUP(D92,旧テーブル一覧!$A$2:$B$313,2,FALSE))</f>
        <v/>
      </c>
    </row>
    <row r="93" spans="3:3" x14ac:dyDescent="0.15">
      <c r="C93" t="str">
        <f>IF(ISNA( VLOOKUP(D93,旧テーブル一覧!$A$2:$B$313,2,FALSE)),"",VLOOKUP(D93,旧テーブル一覧!$A$2:$B$313,2,FALSE))</f>
        <v/>
      </c>
    </row>
    <row r="94" spans="3:3" x14ac:dyDescent="0.15">
      <c r="C94" t="str">
        <f>IF(ISNA( VLOOKUP(D94,旧テーブル一覧!$A$2:$B$313,2,FALSE)),"",VLOOKUP(D94,旧テーブル一覧!$A$2:$B$313,2,FALSE))</f>
        <v/>
      </c>
    </row>
    <row r="95" spans="3:3" x14ac:dyDescent="0.15">
      <c r="C95" t="str">
        <f>IF(ISNA( VLOOKUP(D95,旧テーブル一覧!$A$2:$B$313,2,FALSE)),"",VLOOKUP(D95,旧テーブル一覧!$A$2:$B$313,2,FALSE))</f>
        <v/>
      </c>
    </row>
    <row r="96" spans="3:3" x14ac:dyDescent="0.15">
      <c r="C96" t="str">
        <f>IF(ISNA( VLOOKUP(D96,旧テーブル一覧!$A$2:$B$313,2,FALSE)),"",VLOOKUP(D96,旧テーブル一覧!$A$2:$B$313,2,FALSE))</f>
        <v/>
      </c>
    </row>
    <row r="97" spans="3:3" x14ac:dyDescent="0.15">
      <c r="C97" t="str">
        <f>IF(ISNA( VLOOKUP(D97,旧テーブル一覧!$A$2:$B$313,2,FALSE)),"",VLOOKUP(D97,旧テーブル一覧!$A$2:$B$313,2,FALSE))</f>
        <v/>
      </c>
    </row>
    <row r="98" spans="3:3" x14ac:dyDescent="0.15">
      <c r="C98" t="str">
        <f>IF(ISNA( VLOOKUP(D98,旧テーブル一覧!$A$2:$B$313,2,FALSE)),"",VLOOKUP(D98,旧テーブル一覧!$A$2:$B$313,2,FALSE))</f>
        <v/>
      </c>
    </row>
    <row r="99" spans="3:3" x14ac:dyDescent="0.15">
      <c r="C99" t="str">
        <f>IF(ISNA( VLOOKUP(D99,旧テーブル一覧!$A$2:$B$313,2,FALSE)),"",VLOOKUP(D99,旧テーブル一覧!$A$2:$B$313,2,FALSE))</f>
        <v/>
      </c>
    </row>
    <row r="100" spans="3:3" x14ac:dyDescent="0.15">
      <c r="C100" t="str">
        <f>IF(ISNA( VLOOKUP(D100,旧テーブル一覧!$A$2:$B$313,2,FALSE)),"",VLOOKUP(D100,旧テーブル一覧!$A$2:$B$313,2,FALSE))</f>
        <v/>
      </c>
    </row>
    <row r="101" spans="3:3" x14ac:dyDescent="0.15">
      <c r="C101" t="str">
        <f>IF(ISNA( VLOOKUP(D101,旧テーブル一覧!$A$2:$B$313,2,FALSE)),"",VLOOKUP(D101,旧テーブル一覧!$A$2:$B$313,2,FALSE))</f>
        <v/>
      </c>
    </row>
    <row r="102" spans="3:3" x14ac:dyDescent="0.15">
      <c r="C102" t="str">
        <f>IF(ISNA( VLOOKUP(D102,旧テーブル一覧!$A$2:$B$313,2,FALSE)),"",VLOOKUP(D102,旧テーブル一覧!$A$2:$B$313,2,FALSE))</f>
        <v/>
      </c>
    </row>
    <row r="103" spans="3:3" x14ac:dyDescent="0.15">
      <c r="C103" t="str">
        <f>IF(ISNA( VLOOKUP(D103,旧テーブル一覧!$A$2:$B$313,2,FALSE)),"",VLOOKUP(D103,旧テーブル一覧!$A$2:$B$313,2,FALSE))</f>
        <v/>
      </c>
    </row>
    <row r="104" spans="3:3" x14ac:dyDescent="0.15">
      <c r="C104" t="str">
        <f>IF(ISNA( VLOOKUP(D104,旧テーブル一覧!$A$2:$B$313,2,FALSE)),"",VLOOKUP(D104,旧テーブル一覧!$A$2:$B$313,2,FALSE))</f>
        <v/>
      </c>
    </row>
    <row r="105" spans="3:3" x14ac:dyDescent="0.15">
      <c r="C105" t="str">
        <f>IF(ISNA( VLOOKUP(D105,旧テーブル一覧!$A$2:$B$313,2,FALSE)),"",VLOOKUP(D105,旧テーブル一覧!$A$2:$B$313,2,FALSE))</f>
        <v/>
      </c>
    </row>
    <row r="106" spans="3:3" x14ac:dyDescent="0.15">
      <c r="C106" t="str">
        <f>IF(ISNA( VLOOKUP(D106,旧テーブル一覧!$A$2:$B$313,2,FALSE)),"",VLOOKUP(D106,旧テーブル一覧!$A$2:$B$313,2,FALSE))</f>
        <v/>
      </c>
    </row>
    <row r="107" spans="3:3" x14ac:dyDescent="0.15">
      <c r="C107" t="str">
        <f>IF(ISNA( VLOOKUP(D107,旧テーブル一覧!$A$2:$B$313,2,FALSE)),"",VLOOKUP(D107,旧テーブル一覧!$A$2:$B$313,2,FALSE))</f>
        <v/>
      </c>
    </row>
    <row r="108" spans="3:3" x14ac:dyDescent="0.15">
      <c r="C108" t="str">
        <f>IF(ISNA( VLOOKUP(D108,旧テーブル一覧!$A$2:$B$313,2,FALSE)),"",VLOOKUP(D108,旧テーブル一覧!$A$2:$B$313,2,FALSE))</f>
        <v/>
      </c>
    </row>
    <row r="109" spans="3:3" x14ac:dyDescent="0.15">
      <c r="C109" t="str">
        <f>IF(ISNA( VLOOKUP(D109,旧テーブル一覧!$A$2:$B$313,2,FALSE)),"",VLOOKUP(D109,旧テーブル一覧!$A$2:$B$313,2,FALSE))</f>
        <v/>
      </c>
    </row>
    <row r="110" spans="3:3" x14ac:dyDescent="0.15">
      <c r="C110" t="str">
        <f>IF(ISNA( VLOOKUP(D110,旧テーブル一覧!$A$2:$B$313,2,FALSE)),"",VLOOKUP(D110,旧テーブル一覧!$A$2:$B$313,2,FALSE))</f>
        <v/>
      </c>
    </row>
    <row r="111" spans="3:3" x14ac:dyDescent="0.15">
      <c r="C111" t="str">
        <f>IF(ISNA( VLOOKUP(D111,旧テーブル一覧!$A$2:$B$313,2,FALSE)),"",VLOOKUP(D111,旧テーブル一覧!$A$2:$B$313,2,FALSE))</f>
        <v/>
      </c>
    </row>
    <row r="112" spans="3:3" x14ac:dyDescent="0.15">
      <c r="C112" t="str">
        <f>IF(ISNA( VLOOKUP(D112,旧テーブル一覧!$A$2:$B$313,2,FALSE)),"",VLOOKUP(D112,旧テーブル一覧!$A$2:$B$313,2,FALSE))</f>
        <v/>
      </c>
    </row>
    <row r="113" spans="3:3" x14ac:dyDescent="0.15">
      <c r="C113" t="str">
        <f>IF(ISNA( VLOOKUP(D113,旧テーブル一覧!$A$2:$B$313,2,FALSE)),"",VLOOKUP(D113,旧テーブル一覧!$A$2:$B$313,2,FALSE))</f>
        <v/>
      </c>
    </row>
    <row r="114" spans="3:3" x14ac:dyDescent="0.15">
      <c r="C114" t="str">
        <f>IF(ISNA( VLOOKUP(D114,旧テーブル一覧!$A$2:$B$313,2,FALSE)),"",VLOOKUP(D114,旧テーブル一覧!$A$2:$B$313,2,FALSE))</f>
        <v/>
      </c>
    </row>
    <row r="115" spans="3:3" x14ac:dyDescent="0.15">
      <c r="C115" t="str">
        <f>IF(ISNA( VLOOKUP(D115,旧テーブル一覧!$A$2:$B$313,2,FALSE)),"",VLOOKUP(D115,旧テーブル一覧!$A$2:$B$313,2,FALSE))</f>
        <v/>
      </c>
    </row>
    <row r="116" spans="3:3" x14ac:dyDescent="0.15">
      <c r="C116" t="str">
        <f>IF(ISNA( VLOOKUP(D116,旧テーブル一覧!$A$2:$B$313,2,FALSE)),"",VLOOKUP(D116,旧テーブル一覧!$A$2:$B$313,2,FALSE))</f>
        <v/>
      </c>
    </row>
    <row r="117" spans="3:3" x14ac:dyDescent="0.15">
      <c r="C117" t="str">
        <f>IF(ISNA( VLOOKUP(D117,旧テーブル一覧!$A$2:$B$313,2,FALSE)),"",VLOOKUP(D117,旧テーブル一覧!$A$2:$B$313,2,FALSE))</f>
        <v/>
      </c>
    </row>
    <row r="118" spans="3:3" x14ac:dyDescent="0.15">
      <c r="C118" t="str">
        <f>IF(ISNA( VLOOKUP(D118,旧テーブル一覧!$A$2:$B$313,2,FALSE)),"",VLOOKUP(D118,旧テーブル一覧!$A$2:$B$313,2,FALSE))</f>
        <v/>
      </c>
    </row>
    <row r="119" spans="3:3" x14ac:dyDescent="0.15">
      <c r="C119" t="str">
        <f>IF(ISNA( VLOOKUP(D119,旧テーブル一覧!$A$2:$B$313,2,FALSE)),"",VLOOKUP(D119,旧テーブル一覧!$A$2:$B$313,2,FALSE))</f>
        <v/>
      </c>
    </row>
    <row r="120" spans="3:3" x14ac:dyDescent="0.15">
      <c r="C120" t="str">
        <f>IF(ISNA( VLOOKUP(D120,旧テーブル一覧!$A$2:$B$313,2,FALSE)),"",VLOOKUP(D120,旧テーブル一覧!$A$2:$B$313,2,FALSE))</f>
        <v/>
      </c>
    </row>
    <row r="121" spans="3:3" x14ac:dyDescent="0.15">
      <c r="C121" t="str">
        <f>IF(ISNA( VLOOKUP(D121,旧テーブル一覧!$A$2:$B$313,2,FALSE)),"",VLOOKUP(D121,旧テーブル一覧!$A$2:$B$313,2,FALSE))</f>
        <v/>
      </c>
    </row>
    <row r="122" spans="3:3" x14ac:dyDescent="0.15">
      <c r="C122" t="str">
        <f>IF(ISNA( VLOOKUP(D122,旧テーブル一覧!$A$2:$B$313,2,FALSE)),"",VLOOKUP(D122,旧テーブル一覧!$A$2:$B$313,2,FALSE))</f>
        <v/>
      </c>
    </row>
    <row r="123" spans="3:3" x14ac:dyDescent="0.15">
      <c r="C123" t="str">
        <f>IF(ISNA( VLOOKUP(D123,旧テーブル一覧!$A$2:$B$313,2,FALSE)),"",VLOOKUP(D123,旧テーブル一覧!$A$2:$B$313,2,FALSE))</f>
        <v/>
      </c>
    </row>
    <row r="124" spans="3:3" x14ac:dyDescent="0.15">
      <c r="C124" t="str">
        <f>IF(ISNA( VLOOKUP(D124,旧テーブル一覧!$A$2:$B$313,2,FALSE)),"",VLOOKUP(D124,旧テーブル一覧!$A$2:$B$313,2,FALSE))</f>
        <v/>
      </c>
    </row>
    <row r="125" spans="3:3" x14ac:dyDescent="0.15">
      <c r="C125" t="str">
        <f>IF(ISNA( VLOOKUP(D125,旧テーブル一覧!$A$2:$B$313,2,FALSE)),"",VLOOKUP(D125,旧テーブル一覧!$A$2:$B$313,2,FALSE))</f>
        <v/>
      </c>
    </row>
    <row r="126" spans="3:3" x14ac:dyDescent="0.15">
      <c r="C126" t="str">
        <f>IF(ISNA( VLOOKUP(D126,旧テーブル一覧!$A$2:$B$313,2,FALSE)),"",VLOOKUP(D126,旧テーブル一覧!$A$2:$B$313,2,FALSE))</f>
        <v/>
      </c>
    </row>
    <row r="127" spans="3:3" x14ac:dyDescent="0.15">
      <c r="C127" t="str">
        <f>IF(ISNA( VLOOKUP(D127,旧テーブル一覧!$A$2:$B$313,2,FALSE)),"",VLOOKUP(D127,旧テーブル一覧!$A$2:$B$313,2,FALSE))</f>
        <v/>
      </c>
    </row>
    <row r="128" spans="3:3" x14ac:dyDescent="0.15">
      <c r="C128" t="str">
        <f>IF(ISNA( VLOOKUP(D128,旧テーブル一覧!$A$2:$B$313,2,FALSE)),"",VLOOKUP(D128,旧テーブル一覧!$A$2:$B$313,2,FALSE))</f>
        <v/>
      </c>
    </row>
    <row r="129" spans="3:3" x14ac:dyDescent="0.15">
      <c r="C129" t="str">
        <f>IF(ISNA( VLOOKUP(D129,旧テーブル一覧!$A$2:$B$313,2,FALSE)),"",VLOOKUP(D129,旧テーブル一覧!$A$2:$B$313,2,FALSE))</f>
        <v/>
      </c>
    </row>
    <row r="130" spans="3:3" x14ac:dyDescent="0.15">
      <c r="C130" t="str">
        <f>IF(ISNA( VLOOKUP(D130,旧テーブル一覧!$A$2:$B$313,2,FALSE)),"",VLOOKUP(D130,旧テーブル一覧!$A$2:$B$313,2,FALSE))</f>
        <v/>
      </c>
    </row>
    <row r="131" spans="3:3" x14ac:dyDescent="0.15">
      <c r="C131" t="str">
        <f>IF(ISNA( VLOOKUP(D131,旧テーブル一覧!$A$2:$B$313,2,FALSE)),"",VLOOKUP(D131,旧テーブル一覧!$A$2:$B$313,2,FALSE))</f>
        <v/>
      </c>
    </row>
    <row r="132" spans="3:3" x14ac:dyDescent="0.15">
      <c r="C132" t="str">
        <f>IF(ISNA( VLOOKUP(D132,旧テーブル一覧!$A$2:$B$313,2,FALSE)),"",VLOOKUP(D132,旧テーブル一覧!$A$2:$B$313,2,FALSE))</f>
        <v/>
      </c>
    </row>
    <row r="133" spans="3:3" x14ac:dyDescent="0.15">
      <c r="C133" t="str">
        <f>IF(ISNA( VLOOKUP(D133,旧テーブル一覧!$A$2:$B$313,2,FALSE)),"",VLOOKUP(D133,旧テーブル一覧!$A$2:$B$313,2,FALSE))</f>
        <v/>
      </c>
    </row>
    <row r="134" spans="3:3" x14ac:dyDescent="0.15">
      <c r="C134" t="str">
        <f>IF(ISNA( VLOOKUP(D134,旧テーブル一覧!$A$2:$B$313,2,FALSE)),"",VLOOKUP(D134,旧テーブル一覧!$A$2:$B$313,2,FALSE))</f>
        <v/>
      </c>
    </row>
    <row r="135" spans="3:3" x14ac:dyDescent="0.15">
      <c r="C135" t="str">
        <f>IF(ISNA( VLOOKUP(D135,旧テーブル一覧!$A$2:$B$313,2,FALSE)),"",VLOOKUP(D135,旧テーブル一覧!$A$2:$B$313,2,FALSE))</f>
        <v/>
      </c>
    </row>
    <row r="136" spans="3:3" x14ac:dyDescent="0.15">
      <c r="C136" t="str">
        <f>IF(ISNA( VLOOKUP(D136,旧テーブル一覧!$A$2:$B$313,2,FALSE)),"",VLOOKUP(D136,旧テーブル一覧!$A$2:$B$313,2,FALSE))</f>
        <v/>
      </c>
    </row>
    <row r="137" spans="3:3" x14ac:dyDescent="0.15">
      <c r="C137" t="str">
        <f>IF(ISNA( VLOOKUP(D137,旧テーブル一覧!$A$2:$B$313,2,FALSE)),"",VLOOKUP(D137,旧テーブル一覧!$A$2:$B$313,2,FALSE))</f>
        <v/>
      </c>
    </row>
    <row r="138" spans="3:3" x14ac:dyDescent="0.15">
      <c r="C138" t="str">
        <f>IF(ISNA( VLOOKUP(D138,旧テーブル一覧!$A$2:$B$313,2,FALSE)),"",VLOOKUP(D138,旧テーブル一覧!$A$2:$B$313,2,FALSE))</f>
        <v/>
      </c>
    </row>
    <row r="139" spans="3:3" x14ac:dyDescent="0.15">
      <c r="C139" t="str">
        <f>IF(ISNA( VLOOKUP(D139,旧テーブル一覧!$A$2:$B$313,2,FALSE)),"",VLOOKUP(D139,旧テーブル一覧!$A$2:$B$313,2,FALSE))</f>
        <v/>
      </c>
    </row>
    <row r="140" spans="3:3" x14ac:dyDescent="0.15">
      <c r="C140" t="str">
        <f>IF(ISNA( VLOOKUP(D140,旧テーブル一覧!$A$2:$B$313,2,FALSE)),"",VLOOKUP(D140,旧テーブル一覧!$A$2:$B$313,2,FALSE))</f>
        <v/>
      </c>
    </row>
    <row r="141" spans="3:3" x14ac:dyDescent="0.15">
      <c r="C141" t="str">
        <f>IF(ISNA( VLOOKUP(D141,旧テーブル一覧!$A$2:$B$313,2,FALSE)),"",VLOOKUP(D141,旧テーブル一覧!$A$2:$B$313,2,FALSE))</f>
        <v/>
      </c>
    </row>
    <row r="142" spans="3:3" x14ac:dyDescent="0.15">
      <c r="C142" t="str">
        <f>IF(ISNA( VLOOKUP(D142,旧テーブル一覧!$A$2:$B$313,2,FALSE)),"",VLOOKUP(D142,旧テーブル一覧!$A$2:$B$313,2,FALSE))</f>
        <v/>
      </c>
    </row>
    <row r="143" spans="3:3" x14ac:dyDescent="0.15">
      <c r="C143" t="str">
        <f>IF(ISNA( VLOOKUP(D143,旧テーブル一覧!$A$2:$B$313,2,FALSE)),"",VLOOKUP(D143,旧テーブル一覧!$A$2:$B$313,2,FALSE))</f>
        <v/>
      </c>
    </row>
    <row r="144" spans="3:3" x14ac:dyDescent="0.15">
      <c r="C144" t="str">
        <f>IF(ISNA( VLOOKUP(D144,旧テーブル一覧!$A$2:$B$313,2,FALSE)),"",VLOOKUP(D144,旧テーブル一覧!$A$2:$B$313,2,FALSE))</f>
        <v/>
      </c>
    </row>
    <row r="145" spans="3:3" x14ac:dyDescent="0.15">
      <c r="C145" t="str">
        <f>IF(ISNA( VLOOKUP(D145,旧テーブル一覧!$A$2:$B$313,2,FALSE)),"",VLOOKUP(D145,旧テーブル一覧!$A$2:$B$313,2,FALSE))</f>
        <v/>
      </c>
    </row>
    <row r="146" spans="3:3" x14ac:dyDescent="0.15">
      <c r="C146" t="str">
        <f>IF(ISNA( VLOOKUP(D146,旧テーブル一覧!$A$2:$B$313,2,FALSE)),"",VLOOKUP(D146,旧テーブル一覧!$A$2:$B$313,2,FALSE))</f>
        <v/>
      </c>
    </row>
    <row r="147" spans="3:3" x14ac:dyDescent="0.15">
      <c r="C147" t="str">
        <f>IF(ISNA( VLOOKUP(D147,旧テーブル一覧!$A$2:$B$313,2,FALSE)),"",VLOOKUP(D147,旧テーブル一覧!$A$2:$B$313,2,FALSE))</f>
        <v/>
      </c>
    </row>
    <row r="148" spans="3:3" x14ac:dyDescent="0.15">
      <c r="C148" t="str">
        <f>IF(ISNA( VLOOKUP(D148,旧テーブル一覧!$A$2:$B$313,2,FALSE)),"",VLOOKUP(D148,旧テーブル一覧!$A$2:$B$313,2,FALSE))</f>
        <v/>
      </c>
    </row>
    <row r="149" spans="3:3" x14ac:dyDescent="0.15">
      <c r="C149" t="str">
        <f>IF(ISNA( VLOOKUP(D149,旧テーブル一覧!$A$2:$B$313,2,FALSE)),"",VLOOKUP(D149,旧テーブル一覧!$A$2:$B$313,2,FALSE))</f>
        <v/>
      </c>
    </row>
    <row r="150" spans="3:3" x14ac:dyDescent="0.15">
      <c r="C150" t="str">
        <f>IF(ISNA( VLOOKUP(D150,旧テーブル一覧!$A$2:$B$313,2,FALSE)),"",VLOOKUP(D150,旧テーブル一覧!$A$2:$B$313,2,FALSE))</f>
        <v/>
      </c>
    </row>
    <row r="151" spans="3:3" x14ac:dyDescent="0.15">
      <c r="C151" t="str">
        <f>IF(ISNA( VLOOKUP(D151,旧テーブル一覧!$A$2:$B$313,2,FALSE)),"",VLOOKUP(D151,旧テーブル一覧!$A$2:$B$313,2,FALSE))</f>
        <v/>
      </c>
    </row>
    <row r="152" spans="3:3" x14ac:dyDescent="0.15">
      <c r="C152" t="str">
        <f>IF(ISNA( VLOOKUP(D152,旧テーブル一覧!$A$2:$B$313,2,FALSE)),"",VLOOKUP(D152,旧テーブル一覧!$A$2:$B$313,2,FALSE))</f>
        <v/>
      </c>
    </row>
    <row r="153" spans="3:3" x14ac:dyDescent="0.15">
      <c r="C153" t="str">
        <f>IF(ISNA( VLOOKUP(D153,旧テーブル一覧!$A$2:$B$313,2,FALSE)),"",VLOOKUP(D153,旧テーブル一覧!$A$2:$B$313,2,FALSE))</f>
        <v/>
      </c>
    </row>
    <row r="154" spans="3:3" x14ac:dyDescent="0.15">
      <c r="C154" t="str">
        <f>IF(ISNA( VLOOKUP(D154,旧テーブル一覧!$A$2:$B$313,2,FALSE)),"",VLOOKUP(D154,旧テーブル一覧!$A$2:$B$313,2,FALSE))</f>
        <v/>
      </c>
    </row>
    <row r="155" spans="3:3" x14ac:dyDescent="0.15">
      <c r="C155" t="str">
        <f>IF(ISNA( VLOOKUP(D155,旧テーブル一覧!$A$2:$B$313,2,FALSE)),"",VLOOKUP(D155,旧テーブル一覧!$A$2:$B$313,2,FALSE))</f>
        <v/>
      </c>
    </row>
    <row r="156" spans="3:3" x14ac:dyDescent="0.15">
      <c r="C156" t="str">
        <f>IF(ISNA( VLOOKUP(D156,旧テーブル一覧!$A$2:$B$313,2,FALSE)),"",VLOOKUP(D156,旧テーブル一覧!$A$2:$B$313,2,FALSE))</f>
        <v/>
      </c>
    </row>
    <row r="157" spans="3:3" x14ac:dyDescent="0.15">
      <c r="C157" t="str">
        <f>IF(ISNA( VLOOKUP(D157,旧テーブル一覧!$A$2:$B$313,2,FALSE)),"",VLOOKUP(D157,旧テーブル一覧!$A$2:$B$313,2,FALSE))</f>
        <v/>
      </c>
    </row>
    <row r="158" spans="3:3" x14ac:dyDescent="0.15">
      <c r="C158" t="str">
        <f>IF(ISNA( VLOOKUP(D158,旧テーブル一覧!$A$2:$B$313,2,FALSE)),"",VLOOKUP(D158,旧テーブル一覧!$A$2:$B$313,2,FALSE))</f>
        <v/>
      </c>
    </row>
    <row r="159" spans="3:3" x14ac:dyDescent="0.15">
      <c r="C159" t="str">
        <f>IF(ISNA( VLOOKUP(D159,旧テーブル一覧!$A$2:$B$313,2,FALSE)),"",VLOOKUP(D159,旧テーブル一覧!$A$2:$B$313,2,FALSE))</f>
        <v/>
      </c>
    </row>
    <row r="160" spans="3:3" x14ac:dyDescent="0.15">
      <c r="C160" t="str">
        <f>IF(ISNA( VLOOKUP(D160,旧テーブル一覧!$A$2:$B$313,2,FALSE)),"",VLOOKUP(D160,旧テーブル一覧!$A$2:$B$313,2,FALSE))</f>
        <v/>
      </c>
    </row>
    <row r="161" spans="3:3" x14ac:dyDescent="0.15">
      <c r="C161" t="str">
        <f>IF(ISNA( VLOOKUP(D161,旧テーブル一覧!$A$2:$B$313,2,FALSE)),"",VLOOKUP(D161,旧テーブル一覧!$A$2:$B$313,2,FALSE))</f>
        <v/>
      </c>
    </row>
    <row r="162" spans="3:3" x14ac:dyDescent="0.15">
      <c r="C162" t="str">
        <f>IF(ISNA( VLOOKUP(D162,旧テーブル一覧!$A$2:$B$313,2,FALSE)),"",VLOOKUP(D162,旧テーブル一覧!$A$2:$B$313,2,FALSE))</f>
        <v/>
      </c>
    </row>
    <row r="163" spans="3:3" x14ac:dyDescent="0.15">
      <c r="C163" t="str">
        <f>IF(ISNA( VLOOKUP(D163,旧テーブル一覧!$A$2:$B$313,2,FALSE)),"",VLOOKUP(D163,旧テーブル一覧!$A$2:$B$313,2,FALSE))</f>
        <v/>
      </c>
    </row>
    <row r="164" spans="3:3" x14ac:dyDescent="0.15">
      <c r="C164" t="str">
        <f>IF(ISNA( VLOOKUP(D164,旧テーブル一覧!$A$2:$B$313,2,FALSE)),"",VLOOKUP(D164,旧テーブル一覧!$A$2:$B$313,2,FALSE))</f>
        <v/>
      </c>
    </row>
    <row r="165" spans="3:3" x14ac:dyDescent="0.15">
      <c r="C165" t="str">
        <f>IF(ISNA( VLOOKUP(D165,旧テーブル一覧!$A$2:$B$313,2,FALSE)),"",VLOOKUP(D165,旧テーブル一覧!$A$2:$B$313,2,FALSE))</f>
        <v/>
      </c>
    </row>
    <row r="166" spans="3:3" x14ac:dyDescent="0.15">
      <c r="C166" t="str">
        <f>IF(ISNA( VLOOKUP(D166,旧テーブル一覧!$A$2:$B$313,2,FALSE)),"",VLOOKUP(D166,旧テーブル一覧!$A$2:$B$313,2,FALSE))</f>
        <v/>
      </c>
    </row>
    <row r="167" spans="3:3" x14ac:dyDescent="0.15">
      <c r="C167" t="str">
        <f>IF(ISNA( VLOOKUP(D167,旧テーブル一覧!$A$2:$B$313,2,FALSE)),"",VLOOKUP(D167,旧テーブル一覧!$A$2:$B$313,2,FALSE))</f>
        <v/>
      </c>
    </row>
    <row r="168" spans="3:3" x14ac:dyDescent="0.15">
      <c r="C168" t="str">
        <f>IF(ISNA( VLOOKUP(D168,旧テーブル一覧!$A$2:$B$313,2,FALSE)),"",VLOOKUP(D168,旧テーブル一覧!$A$2:$B$313,2,FALSE))</f>
        <v/>
      </c>
    </row>
    <row r="169" spans="3:3" x14ac:dyDescent="0.15">
      <c r="C169" t="str">
        <f>IF(ISNA( VLOOKUP(D169,旧テーブル一覧!$A$2:$B$313,2,FALSE)),"",VLOOKUP(D169,旧テーブル一覧!$A$2:$B$313,2,FALSE))</f>
        <v/>
      </c>
    </row>
    <row r="170" spans="3:3" x14ac:dyDescent="0.15">
      <c r="C170" t="str">
        <f>IF(ISNA( VLOOKUP(D170,旧テーブル一覧!$A$2:$B$313,2,FALSE)),"",VLOOKUP(D170,旧テーブル一覧!$A$2:$B$313,2,FALSE))</f>
        <v/>
      </c>
    </row>
    <row r="171" spans="3:3" x14ac:dyDescent="0.15">
      <c r="C171" t="str">
        <f>IF(ISNA( VLOOKUP(D171,旧テーブル一覧!$A$2:$B$313,2,FALSE)),"",VLOOKUP(D171,旧テーブル一覧!$A$2:$B$313,2,FALSE))</f>
        <v/>
      </c>
    </row>
    <row r="172" spans="3:3" x14ac:dyDescent="0.15">
      <c r="C172" t="str">
        <f>IF(ISNA( VLOOKUP(D172,旧テーブル一覧!$A$2:$B$313,2,FALSE)),"",VLOOKUP(D172,旧テーブル一覧!$A$2:$B$313,2,FALSE))</f>
        <v/>
      </c>
    </row>
    <row r="173" spans="3:3" x14ac:dyDescent="0.15">
      <c r="C173" t="str">
        <f>IF(ISNA( VLOOKUP(D173,旧テーブル一覧!$A$2:$B$313,2,FALSE)),"",VLOOKUP(D173,旧テーブル一覧!$A$2:$B$313,2,FALSE))</f>
        <v/>
      </c>
    </row>
    <row r="174" spans="3:3" x14ac:dyDescent="0.15">
      <c r="C174" t="str">
        <f>IF(ISNA( VLOOKUP(D174,旧テーブル一覧!$A$2:$B$313,2,FALSE)),"",VLOOKUP(D174,旧テーブル一覧!$A$2:$B$313,2,FALSE))</f>
        <v/>
      </c>
    </row>
    <row r="175" spans="3:3" x14ac:dyDescent="0.15">
      <c r="C175" t="str">
        <f>IF(ISNA( VLOOKUP(D175,旧テーブル一覧!$A$2:$B$313,2,FALSE)),"",VLOOKUP(D175,旧テーブル一覧!$A$2:$B$313,2,FALSE))</f>
        <v/>
      </c>
    </row>
    <row r="176" spans="3:3" x14ac:dyDescent="0.15">
      <c r="C176" t="str">
        <f>IF(ISNA( VLOOKUP(D176,旧テーブル一覧!$A$2:$B$313,2,FALSE)),"",VLOOKUP(D176,旧テーブル一覧!$A$2:$B$313,2,FALSE))</f>
        <v/>
      </c>
    </row>
    <row r="177" spans="3:3" x14ac:dyDescent="0.15">
      <c r="C177" t="str">
        <f>IF(ISNA( VLOOKUP(D177,旧テーブル一覧!$A$2:$B$313,2,FALSE)),"",VLOOKUP(D177,旧テーブル一覧!$A$2:$B$313,2,FALSE))</f>
        <v/>
      </c>
    </row>
    <row r="178" spans="3:3" x14ac:dyDescent="0.15">
      <c r="C178" t="str">
        <f>IF(ISNA( VLOOKUP(D178,旧テーブル一覧!$A$2:$B$313,2,FALSE)),"",VLOOKUP(D178,旧テーブル一覧!$A$2:$B$313,2,FALSE))</f>
        <v/>
      </c>
    </row>
    <row r="179" spans="3:3" x14ac:dyDescent="0.15">
      <c r="C179" t="str">
        <f>IF(ISNA( VLOOKUP(D179,旧テーブル一覧!$A$2:$B$313,2,FALSE)),"",VLOOKUP(D179,旧テーブル一覧!$A$2:$B$313,2,FALSE))</f>
        <v/>
      </c>
    </row>
    <row r="180" spans="3:3" x14ac:dyDescent="0.15">
      <c r="C180" t="str">
        <f>IF(ISNA( VLOOKUP(D180,旧テーブル一覧!$A$2:$B$313,2,FALSE)),"",VLOOKUP(D180,旧テーブル一覧!$A$2:$B$313,2,FALSE))</f>
        <v/>
      </c>
    </row>
    <row r="181" spans="3:3" x14ac:dyDescent="0.15">
      <c r="C181" t="str">
        <f>IF(ISNA( VLOOKUP(D181,旧テーブル一覧!$A$2:$B$313,2,FALSE)),"",VLOOKUP(D181,旧テーブル一覧!$A$2:$B$313,2,FALSE))</f>
        <v/>
      </c>
    </row>
    <row r="182" spans="3:3" x14ac:dyDescent="0.15">
      <c r="C182" t="str">
        <f>IF(ISNA( VLOOKUP(D182,旧テーブル一覧!$A$2:$B$313,2,FALSE)),"",VLOOKUP(D182,旧テーブル一覧!$A$2:$B$313,2,FALSE))</f>
        <v/>
      </c>
    </row>
    <row r="183" spans="3:3" x14ac:dyDescent="0.15">
      <c r="C183" t="str">
        <f>IF(ISNA( VLOOKUP(D183,旧テーブル一覧!$A$2:$B$313,2,FALSE)),"",VLOOKUP(D183,旧テーブル一覧!$A$2:$B$313,2,FALSE))</f>
        <v/>
      </c>
    </row>
    <row r="184" spans="3:3" x14ac:dyDescent="0.15">
      <c r="C184" t="str">
        <f>IF(ISNA( VLOOKUP(D184,旧テーブル一覧!$A$2:$B$313,2,FALSE)),"",VLOOKUP(D184,旧テーブル一覧!$A$2:$B$313,2,FALSE))</f>
        <v/>
      </c>
    </row>
    <row r="185" spans="3:3" x14ac:dyDescent="0.15">
      <c r="C185" t="str">
        <f>IF(ISNA( VLOOKUP(D185,旧テーブル一覧!$A$2:$B$313,2,FALSE)),"",VLOOKUP(D185,旧テーブル一覧!$A$2:$B$313,2,FALSE))</f>
        <v/>
      </c>
    </row>
    <row r="186" spans="3:3" x14ac:dyDescent="0.15">
      <c r="C186" t="str">
        <f>IF(ISNA( VLOOKUP(D186,旧テーブル一覧!$A$2:$B$313,2,FALSE)),"",VLOOKUP(D186,旧テーブル一覧!$A$2:$B$313,2,FALSE))</f>
        <v/>
      </c>
    </row>
    <row r="187" spans="3:3" x14ac:dyDescent="0.15">
      <c r="C187" t="str">
        <f>IF(ISNA( VLOOKUP(D187,旧テーブル一覧!$A$2:$B$313,2,FALSE)),"",VLOOKUP(D187,旧テーブル一覧!$A$2:$B$313,2,FALSE))</f>
        <v/>
      </c>
    </row>
    <row r="188" spans="3:3" x14ac:dyDescent="0.15">
      <c r="C188" t="str">
        <f>IF(ISNA( VLOOKUP(D188,旧テーブル一覧!$A$2:$B$313,2,FALSE)),"",VLOOKUP(D188,旧テーブル一覧!$A$2:$B$313,2,FALSE))</f>
        <v/>
      </c>
    </row>
    <row r="189" spans="3:3" x14ac:dyDescent="0.15">
      <c r="C189" t="str">
        <f>IF(ISNA( VLOOKUP(D189,旧テーブル一覧!$A$2:$B$313,2,FALSE)),"",VLOOKUP(D189,旧テーブル一覧!$A$2:$B$313,2,FALSE))</f>
        <v/>
      </c>
    </row>
    <row r="190" spans="3:3" x14ac:dyDescent="0.15">
      <c r="C190" t="str">
        <f>IF(ISNA( VLOOKUP(D190,旧テーブル一覧!$A$2:$B$313,2,FALSE)),"",VLOOKUP(D190,旧テーブル一覧!$A$2:$B$313,2,FALSE))</f>
        <v/>
      </c>
    </row>
    <row r="191" spans="3:3" x14ac:dyDescent="0.15">
      <c r="C191" t="str">
        <f>IF(ISNA( VLOOKUP(D191,旧テーブル一覧!$A$2:$B$313,2,FALSE)),"",VLOOKUP(D191,旧テーブル一覧!$A$2:$B$313,2,FALSE))</f>
        <v/>
      </c>
    </row>
    <row r="192" spans="3:3" x14ac:dyDescent="0.15">
      <c r="C192" t="str">
        <f>IF(ISNA( VLOOKUP(D192,旧テーブル一覧!$A$2:$B$313,2,FALSE)),"",VLOOKUP(D192,旧テーブル一覧!$A$2:$B$313,2,FALSE))</f>
        <v/>
      </c>
    </row>
    <row r="193" spans="3:3" x14ac:dyDescent="0.15">
      <c r="C193" t="str">
        <f>IF(ISNA( VLOOKUP(D193,旧テーブル一覧!$A$2:$B$313,2,FALSE)),"",VLOOKUP(D193,旧テーブル一覧!$A$2:$B$313,2,FALSE))</f>
        <v/>
      </c>
    </row>
    <row r="194" spans="3:3" x14ac:dyDescent="0.15">
      <c r="C194" t="str">
        <f>IF(ISNA( VLOOKUP(D194,旧テーブル一覧!$A$2:$B$313,2,FALSE)),"",VLOOKUP(D194,旧テーブル一覧!$A$2:$B$313,2,FALSE))</f>
        <v/>
      </c>
    </row>
    <row r="195" spans="3:3" x14ac:dyDescent="0.15">
      <c r="C195" t="str">
        <f>IF(ISNA( VLOOKUP(D195,旧テーブル一覧!$A$2:$B$313,2,FALSE)),"",VLOOKUP(D195,旧テーブル一覧!$A$2:$B$313,2,FALSE))</f>
        <v/>
      </c>
    </row>
    <row r="196" spans="3:3" x14ac:dyDescent="0.15">
      <c r="C196" t="str">
        <f>IF(ISNA( VLOOKUP(D196,旧テーブル一覧!$A$2:$B$313,2,FALSE)),"",VLOOKUP(D196,旧テーブル一覧!$A$2:$B$313,2,FALSE))</f>
        <v/>
      </c>
    </row>
    <row r="197" spans="3:3" x14ac:dyDescent="0.15">
      <c r="C197" t="str">
        <f>IF(ISNA( VLOOKUP(D197,旧テーブル一覧!$A$2:$B$313,2,FALSE)),"",VLOOKUP(D197,旧テーブル一覧!$A$2:$B$313,2,FALSE))</f>
        <v/>
      </c>
    </row>
    <row r="198" spans="3:3" x14ac:dyDescent="0.15">
      <c r="C198" t="str">
        <f>IF(ISNA( VLOOKUP(D198,旧テーブル一覧!$A$2:$B$313,2,FALSE)),"",VLOOKUP(D198,旧テーブル一覧!$A$2:$B$313,2,FALSE))</f>
        <v/>
      </c>
    </row>
    <row r="199" spans="3:3" x14ac:dyDescent="0.15">
      <c r="C199" t="str">
        <f>IF(ISNA( VLOOKUP(D199,旧テーブル一覧!$A$2:$B$313,2,FALSE)),"",VLOOKUP(D199,旧テーブル一覧!$A$2:$B$313,2,FALSE))</f>
        <v/>
      </c>
    </row>
    <row r="200" spans="3:3" x14ac:dyDescent="0.15">
      <c r="C200" t="str">
        <f>IF(ISNA( VLOOKUP(D200,旧テーブル一覧!$A$2:$B$313,2,FALSE)),"",VLOOKUP(D200,旧テーブル一覧!$A$2:$B$313,2,FALSE))</f>
        <v/>
      </c>
    </row>
    <row r="201" spans="3:3" x14ac:dyDescent="0.15">
      <c r="C201" t="str">
        <f>IF(ISNA( VLOOKUP(D201,旧テーブル一覧!$A$2:$B$313,2,FALSE)),"",VLOOKUP(D201,旧テーブル一覧!$A$2:$B$313,2,FALSE))</f>
        <v/>
      </c>
    </row>
    <row r="202" spans="3:3" x14ac:dyDescent="0.15">
      <c r="C202" t="str">
        <f>IF(ISNA( VLOOKUP(D202,旧テーブル一覧!$A$2:$B$313,2,FALSE)),"",VLOOKUP(D202,旧テーブル一覧!$A$2:$B$313,2,FALSE))</f>
        <v/>
      </c>
    </row>
    <row r="203" spans="3:3" x14ac:dyDescent="0.15">
      <c r="C203" t="str">
        <f>IF(ISNA( VLOOKUP(D203,旧テーブル一覧!$A$2:$B$313,2,FALSE)),"",VLOOKUP(D203,旧テーブル一覧!$A$2:$B$313,2,FALSE))</f>
        <v/>
      </c>
    </row>
    <row r="204" spans="3:3" x14ac:dyDescent="0.15">
      <c r="C204" t="str">
        <f>IF(ISNA( VLOOKUP(D204,旧テーブル一覧!$A$2:$B$313,2,FALSE)),"",VLOOKUP(D204,旧テーブル一覧!$A$2:$B$313,2,FALSE))</f>
        <v/>
      </c>
    </row>
    <row r="205" spans="3:3" x14ac:dyDescent="0.15">
      <c r="C205" t="str">
        <f>IF(ISNA( VLOOKUP(D205,旧テーブル一覧!$A$2:$B$313,2,FALSE)),"",VLOOKUP(D205,旧テーブル一覧!$A$2:$B$313,2,FALSE))</f>
        <v/>
      </c>
    </row>
    <row r="206" spans="3:3" x14ac:dyDescent="0.15">
      <c r="C206" t="str">
        <f>IF(ISNA( VLOOKUP(D206,旧テーブル一覧!$A$2:$B$313,2,FALSE)),"",VLOOKUP(D206,旧テーブル一覧!$A$2:$B$313,2,FALSE))</f>
        <v/>
      </c>
    </row>
    <row r="207" spans="3:3" x14ac:dyDescent="0.15">
      <c r="C207" t="str">
        <f>IF(ISNA( VLOOKUP(D207,旧テーブル一覧!$A$2:$B$313,2,FALSE)),"",VLOOKUP(D207,旧テーブル一覧!$A$2:$B$313,2,FALSE))</f>
        <v/>
      </c>
    </row>
    <row r="208" spans="3:3" x14ac:dyDescent="0.15">
      <c r="C208" t="str">
        <f>IF(ISNA( VLOOKUP(D208,旧テーブル一覧!$A$2:$B$313,2,FALSE)),"",VLOOKUP(D208,旧テーブル一覧!$A$2:$B$313,2,FALSE))</f>
        <v/>
      </c>
    </row>
    <row r="209" spans="3:3" x14ac:dyDescent="0.15">
      <c r="C209" t="str">
        <f>IF(ISNA( VLOOKUP(D209,旧テーブル一覧!$A$2:$B$313,2,FALSE)),"",VLOOKUP(D209,旧テーブル一覧!$A$2:$B$313,2,FALSE))</f>
        <v/>
      </c>
    </row>
    <row r="210" spans="3:3" x14ac:dyDescent="0.15">
      <c r="C210" t="str">
        <f>IF(ISNA( VLOOKUP(D210,旧テーブル一覧!$A$2:$B$313,2,FALSE)),"",VLOOKUP(D210,旧テーブル一覧!$A$2:$B$313,2,FALSE))</f>
        <v/>
      </c>
    </row>
    <row r="211" spans="3:3" x14ac:dyDescent="0.15">
      <c r="C211" t="str">
        <f>IF(ISNA( VLOOKUP(D211,旧テーブル一覧!$A$2:$B$313,2,FALSE)),"",VLOOKUP(D211,旧テーブル一覧!$A$2:$B$313,2,FALSE))</f>
        <v/>
      </c>
    </row>
    <row r="212" spans="3:3" x14ac:dyDescent="0.15">
      <c r="C212" t="str">
        <f>IF(ISNA( VLOOKUP(D212,旧テーブル一覧!$A$2:$B$313,2,FALSE)),"",VLOOKUP(D212,旧テーブル一覧!$A$2:$B$313,2,FALSE))</f>
        <v/>
      </c>
    </row>
    <row r="213" spans="3:3" x14ac:dyDescent="0.15">
      <c r="C213" t="str">
        <f>IF(ISNA( VLOOKUP(D213,旧テーブル一覧!$A$2:$B$313,2,FALSE)),"",VLOOKUP(D213,旧テーブル一覧!$A$2:$B$313,2,FALSE))</f>
        <v/>
      </c>
    </row>
    <row r="214" spans="3:3" x14ac:dyDescent="0.15">
      <c r="C214" t="str">
        <f>IF(ISNA( VLOOKUP(D214,旧テーブル一覧!$A$2:$B$313,2,FALSE)),"",VLOOKUP(D214,旧テーブル一覧!$A$2:$B$313,2,FALSE))</f>
        <v/>
      </c>
    </row>
    <row r="215" spans="3:3" x14ac:dyDescent="0.15">
      <c r="C215" t="str">
        <f>IF(ISNA( VLOOKUP(D215,旧テーブル一覧!$A$2:$B$313,2,FALSE)),"",VLOOKUP(D215,旧テーブル一覧!$A$2:$B$313,2,FALSE))</f>
        <v/>
      </c>
    </row>
    <row r="216" spans="3:3" x14ac:dyDescent="0.15">
      <c r="C216" t="str">
        <f>IF(ISNA( VLOOKUP(D216,旧テーブル一覧!$A$2:$B$313,2,FALSE)),"",VLOOKUP(D216,旧テーブル一覧!$A$2:$B$313,2,FALSE))</f>
        <v/>
      </c>
    </row>
    <row r="217" spans="3:3" x14ac:dyDescent="0.15">
      <c r="C217" t="str">
        <f>IF(ISNA( VLOOKUP(D217,旧テーブル一覧!$A$2:$B$313,2,FALSE)),"",VLOOKUP(D217,旧テーブル一覧!$A$2:$B$313,2,FALSE))</f>
        <v/>
      </c>
    </row>
    <row r="218" spans="3:3" x14ac:dyDescent="0.15">
      <c r="C218" t="str">
        <f>IF(ISNA( VLOOKUP(D218,旧テーブル一覧!$A$2:$B$313,2,FALSE)),"",VLOOKUP(D218,旧テーブル一覧!$A$2:$B$313,2,FALSE))</f>
        <v/>
      </c>
    </row>
    <row r="219" spans="3:3" x14ac:dyDescent="0.15">
      <c r="C219" t="str">
        <f>IF(ISNA( VLOOKUP(D219,旧テーブル一覧!$A$2:$B$313,2,FALSE)),"",VLOOKUP(D219,旧テーブル一覧!$A$2:$B$313,2,FALSE))</f>
        <v/>
      </c>
    </row>
    <row r="220" spans="3:3" x14ac:dyDescent="0.15">
      <c r="C220" t="str">
        <f>IF(ISNA( VLOOKUP(D220,旧テーブル一覧!$A$2:$B$313,2,FALSE)),"",VLOOKUP(D220,旧テーブル一覧!$A$2:$B$313,2,FALSE))</f>
        <v/>
      </c>
    </row>
    <row r="221" spans="3:3" x14ac:dyDescent="0.15">
      <c r="C221" t="str">
        <f>IF(ISNA( VLOOKUP(D221,旧テーブル一覧!$A$2:$B$313,2,FALSE)),"",VLOOKUP(D221,旧テーブル一覧!$A$2:$B$313,2,FALSE))</f>
        <v/>
      </c>
    </row>
    <row r="222" spans="3:3" x14ac:dyDescent="0.15">
      <c r="C222" t="str">
        <f>IF(ISNA( VLOOKUP(D222,旧テーブル一覧!$A$2:$B$313,2,FALSE)),"",VLOOKUP(D222,旧テーブル一覧!$A$2:$B$313,2,FALSE))</f>
        <v/>
      </c>
    </row>
    <row r="223" spans="3:3" x14ac:dyDescent="0.15">
      <c r="C223" t="str">
        <f>IF(ISNA( VLOOKUP(D223,旧テーブル一覧!$A$2:$B$313,2,FALSE)),"",VLOOKUP(D223,旧テーブル一覧!$A$2:$B$313,2,FALSE))</f>
        <v/>
      </c>
    </row>
    <row r="224" spans="3:3" x14ac:dyDescent="0.15">
      <c r="C224" t="str">
        <f>IF(ISNA( VLOOKUP(D224,旧テーブル一覧!$A$2:$B$313,2,FALSE)),"",VLOOKUP(D224,旧テーブル一覧!$A$2:$B$313,2,FALSE))</f>
        <v/>
      </c>
    </row>
    <row r="225" spans="3:3" x14ac:dyDescent="0.15">
      <c r="C225" t="str">
        <f>IF(ISNA( VLOOKUP(D225,旧テーブル一覧!$A$2:$B$313,2,FALSE)),"",VLOOKUP(D225,旧テーブル一覧!$A$2:$B$313,2,FALSE))</f>
        <v/>
      </c>
    </row>
    <row r="226" spans="3:3" x14ac:dyDescent="0.15">
      <c r="C226" t="str">
        <f>IF(ISNA( VLOOKUP(D226,旧テーブル一覧!$A$2:$B$313,2,FALSE)),"",VLOOKUP(D226,旧テーブル一覧!$A$2:$B$313,2,FALSE))</f>
        <v/>
      </c>
    </row>
    <row r="227" spans="3:3" x14ac:dyDescent="0.15">
      <c r="C227" t="str">
        <f>IF(ISNA( VLOOKUP(D227,旧テーブル一覧!$A$2:$B$313,2,FALSE)),"",VLOOKUP(D227,旧テーブル一覧!$A$2:$B$313,2,FALSE))</f>
        <v/>
      </c>
    </row>
    <row r="228" spans="3:3" x14ac:dyDescent="0.15">
      <c r="C228" t="str">
        <f>IF(ISNA( VLOOKUP(D228,旧テーブル一覧!$A$2:$B$313,2,FALSE)),"",VLOOKUP(D228,旧テーブル一覧!$A$2:$B$313,2,FALSE))</f>
        <v/>
      </c>
    </row>
    <row r="229" spans="3:3" x14ac:dyDescent="0.15">
      <c r="C229" t="str">
        <f>IF(ISNA( VLOOKUP(D229,旧テーブル一覧!$A$2:$B$313,2,FALSE)),"",VLOOKUP(D229,旧テーブル一覧!$A$2:$B$313,2,FALSE))</f>
        <v/>
      </c>
    </row>
    <row r="230" spans="3:3" x14ac:dyDescent="0.15">
      <c r="C230" t="str">
        <f>IF(ISNA( VLOOKUP(D230,旧テーブル一覧!$A$2:$B$313,2,FALSE)),"",VLOOKUP(D230,旧テーブル一覧!$A$2:$B$313,2,FALSE))</f>
        <v/>
      </c>
    </row>
    <row r="231" spans="3:3" x14ac:dyDescent="0.15">
      <c r="C231" t="str">
        <f>IF(ISNA( VLOOKUP(D231,旧テーブル一覧!$A$2:$B$313,2,FALSE)),"",VLOOKUP(D231,旧テーブル一覧!$A$2:$B$313,2,FALSE))</f>
        <v/>
      </c>
    </row>
    <row r="232" spans="3:3" x14ac:dyDescent="0.15">
      <c r="C232" t="str">
        <f>IF(ISNA( VLOOKUP(D232,旧テーブル一覧!$A$2:$B$313,2,FALSE)),"",VLOOKUP(D232,旧テーブル一覧!$A$2:$B$313,2,FALSE))</f>
        <v/>
      </c>
    </row>
    <row r="233" spans="3:3" x14ac:dyDescent="0.15">
      <c r="C233" t="str">
        <f>IF(ISNA( VLOOKUP(D233,旧テーブル一覧!$A$2:$B$313,2,FALSE)),"",VLOOKUP(D233,旧テーブル一覧!$A$2:$B$313,2,FALSE))</f>
        <v/>
      </c>
    </row>
    <row r="234" spans="3:3" x14ac:dyDescent="0.15">
      <c r="C234" t="str">
        <f>IF(ISNA( VLOOKUP(D234,旧テーブル一覧!$A$2:$B$313,2,FALSE)),"",VLOOKUP(D234,旧テーブル一覧!$A$2:$B$313,2,FALSE))</f>
        <v/>
      </c>
    </row>
    <row r="235" spans="3:3" x14ac:dyDescent="0.15">
      <c r="C235" t="str">
        <f>IF(ISNA( VLOOKUP(D235,旧テーブル一覧!$A$2:$B$313,2,FALSE)),"",VLOOKUP(D235,旧テーブル一覧!$A$2:$B$313,2,FALSE))</f>
        <v/>
      </c>
    </row>
    <row r="236" spans="3:3" x14ac:dyDescent="0.15">
      <c r="C236" t="str">
        <f>IF(ISNA( VLOOKUP(D236,旧テーブル一覧!$A$2:$B$313,2,FALSE)),"",VLOOKUP(D236,旧テーブル一覧!$A$2:$B$313,2,FALSE))</f>
        <v/>
      </c>
    </row>
    <row r="237" spans="3:3" x14ac:dyDescent="0.15">
      <c r="C237" t="str">
        <f>IF(ISNA( VLOOKUP(D237,旧テーブル一覧!$A$2:$B$313,2,FALSE)),"",VLOOKUP(D237,旧テーブル一覧!$A$2:$B$313,2,FALSE))</f>
        <v/>
      </c>
    </row>
    <row r="238" spans="3:3" x14ac:dyDescent="0.15">
      <c r="C238" t="str">
        <f>IF(ISNA( VLOOKUP(D238,旧テーブル一覧!$A$2:$B$313,2,FALSE)),"",VLOOKUP(D238,旧テーブル一覧!$A$2:$B$313,2,FALSE))</f>
        <v/>
      </c>
    </row>
    <row r="239" spans="3:3" x14ac:dyDescent="0.15">
      <c r="C239" t="str">
        <f>IF(ISNA( VLOOKUP(D239,旧テーブル一覧!$A$2:$B$313,2,FALSE)),"",VLOOKUP(D239,旧テーブル一覧!$A$2:$B$313,2,FALSE))</f>
        <v/>
      </c>
    </row>
    <row r="240" spans="3:3" x14ac:dyDescent="0.15">
      <c r="C240" t="str">
        <f>IF(ISNA( VLOOKUP(D240,旧テーブル一覧!$A$2:$B$313,2,FALSE)),"",VLOOKUP(D240,旧テーブル一覧!$A$2:$B$313,2,FALSE))</f>
        <v/>
      </c>
    </row>
    <row r="241" spans="3:3" x14ac:dyDescent="0.15">
      <c r="C241" t="str">
        <f>IF(ISNA( VLOOKUP(D241,旧テーブル一覧!$A$2:$B$313,2,FALSE)),"",VLOOKUP(D241,旧テーブル一覧!$A$2:$B$313,2,FALSE))</f>
        <v/>
      </c>
    </row>
    <row r="242" spans="3:3" x14ac:dyDescent="0.15">
      <c r="C242" t="str">
        <f>IF(ISNA( VLOOKUP(D242,旧テーブル一覧!$A$2:$B$313,2,FALSE)),"",VLOOKUP(D242,旧テーブル一覧!$A$2:$B$313,2,FALSE))</f>
        <v/>
      </c>
    </row>
    <row r="243" spans="3:3" x14ac:dyDescent="0.15">
      <c r="C243" t="str">
        <f>IF(ISNA( VLOOKUP(D243,旧テーブル一覧!$A$2:$B$313,2,FALSE)),"",VLOOKUP(D243,旧テーブル一覧!$A$2:$B$313,2,FALSE))</f>
        <v/>
      </c>
    </row>
    <row r="244" spans="3:3" x14ac:dyDescent="0.15">
      <c r="C244" t="str">
        <f>IF(ISNA( VLOOKUP(D244,旧テーブル一覧!$A$2:$B$313,2,FALSE)),"",VLOOKUP(D244,旧テーブル一覧!$A$2:$B$313,2,FALSE))</f>
        <v/>
      </c>
    </row>
    <row r="245" spans="3:3" x14ac:dyDescent="0.15">
      <c r="C245" t="str">
        <f>IF(ISNA( VLOOKUP(D245,旧テーブル一覧!$A$2:$B$313,2,FALSE)),"",VLOOKUP(D245,旧テーブル一覧!$A$2:$B$313,2,FALSE))</f>
        <v/>
      </c>
    </row>
    <row r="246" spans="3:3" x14ac:dyDescent="0.15">
      <c r="C246" t="str">
        <f>IF(ISNA( VLOOKUP(D246,旧テーブル一覧!$A$2:$B$313,2,FALSE)),"",VLOOKUP(D246,旧テーブル一覧!$A$2:$B$313,2,FALSE))</f>
        <v/>
      </c>
    </row>
    <row r="247" spans="3:3" x14ac:dyDescent="0.15">
      <c r="C247" t="str">
        <f>IF(ISNA( VLOOKUP(D247,旧テーブル一覧!$A$2:$B$313,2,FALSE)),"",VLOOKUP(D247,旧テーブル一覧!$A$2:$B$313,2,FALSE))</f>
        <v/>
      </c>
    </row>
    <row r="248" spans="3:3" x14ac:dyDescent="0.15">
      <c r="C248" t="str">
        <f>IF(ISNA( VLOOKUP(D248,旧テーブル一覧!$A$2:$B$313,2,FALSE)),"",VLOOKUP(D248,旧テーブル一覧!$A$2:$B$313,2,FALSE))</f>
        <v/>
      </c>
    </row>
    <row r="249" spans="3:3" x14ac:dyDescent="0.15">
      <c r="C249" t="str">
        <f>IF(ISNA( VLOOKUP(D249,旧テーブル一覧!$A$2:$B$313,2,FALSE)),"",VLOOKUP(D249,旧テーブル一覧!$A$2:$B$313,2,FALSE))</f>
        <v/>
      </c>
    </row>
    <row r="250" spans="3:3" x14ac:dyDescent="0.15">
      <c r="C250" t="str">
        <f>IF(ISNA( VLOOKUP(D250,旧テーブル一覧!$A$2:$B$313,2,FALSE)),"",VLOOKUP(D250,旧テーブル一覧!$A$2:$B$313,2,FALSE))</f>
        <v/>
      </c>
    </row>
    <row r="251" spans="3:3" x14ac:dyDescent="0.15">
      <c r="C251" t="str">
        <f>IF(ISNA( VLOOKUP(D251,旧テーブル一覧!$A$2:$B$313,2,FALSE)),"",VLOOKUP(D251,旧テーブル一覧!$A$2:$B$313,2,FALSE))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tabSelected="1" workbookViewId="0">
      <selection activeCell="D40" sqref="D40"/>
    </sheetView>
  </sheetViews>
  <sheetFormatPr defaultRowHeight="13.5" x14ac:dyDescent="0.15"/>
  <cols>
    <col min="2" max="2" width="17.5" customWidth="1"/>
    <col min="3" max="3" width="29.25" customWidth="1"/>
    <col min="4" max="4" width="39.75" customWidth="1"/>
    <col min="5" max="5" width="25.5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IF(ISBLANK( OPERATION_TABLELIST[[#This Row],[物理名]]),"",ROW()-1)</f>
        <v>1</v>
      </c>
      <c r="B2" t="s">
        <v>473</v>
      </c>
      <c r="C2" t="str">
        <f>IF(ISNA( VLOOKUP(D2,テーブル一覧!$A$2:$B$313,2,FALSE)),"",VLOOKUP(D2,テーブル一覧!$A$2:$B$313,2,FALSE))</f>
        <v>稼動計画</v>
      </c>
      <c r="D2" s="1" t="s">
        <v>15</v>
      </c>
      <c r="E2" t="str">
        <f>OPERATION_TABLELIST[[#This Row],[テーブル名]]</f>
        <v>稼動計画</v>
      </c>
    </row>
    <row r="3" spans="1:5" x14ac:dyDescent="0.15">
      <c r="A3">
        <f>IF(ISBLANK( OPERATION_TABLELIST[[#This Row],[物理名]]),"",ROW()-1)</f>
        <v>2</v>
      </c>
      <c r="B3" t="s">
        <v>473</v>
      </c>
      <c r="C3" t="str">
        <f>IF(ISNA( VLOOKUP(D3,テーブル一覧!$A$2:$B$313,2,FALSE)),"",VLOOKUP(D3,テーブル一覧!$A$2:$B$313,2,FALSE))</f>
        <v>稼動計画－基本</v>
      </c>
      <c r="D3" s="1" t="s">
        <v>413</v>
      </c>
      <c r="E3" t="str">
        <f>OPERATION_TABLELIST[[#This Row],[テーブル名]]</f>
        <v>稼動計画－基本</v>
      </c>
    </row>
    <row r="4" spans="1:5" x14ac:dyDescent="0.15">
      <c r="A4">
        <f>IF(ISBLANK( OPERATION_TABLELIST[[#This Row],[物理名]]),"",ROW()-1)</f>
        <v>3</v>
      </c>
      <c r="B4" t="s">
        <v>473</v>
      </c>
      <c r="C4" t="str">
        <f>IF(ISNA( VLOOKUP(D4,テーブル一覧!$A$2:$B$313,2,FALSE)),"",VLOOKUP(D4,テーブル一覧!$A$2:$B$313,2,FALSE))</f>
        <v>稼動計画－能力</v>
      </c>
      <c r="D4" s="1" t="s">
        <v>414</v>
      </c>
      <c r="E4" t="str">
        <f>OPERATION_TABLELIST[[#This Row],[テーブル名]]</f>
        <v>稼動計画－能力</v>
      </c>
    </row>
    <row r="5" spans="1:5" x14ac:dyDescent="0.15">
      <c r="A5">
        <f>IF(ISBLANK( OPERATION_TABLELIST[[#This Row],[物理名]]),"",ROW()-1)</f>
        <v>4</v>
      </c>
      <c r="B5" t="s">
        <v>473</v>
      </c>
      <c r="C5" t="str">
        <f>IF(ISNA( VLOOKUP(D5,テーブル一覧!$A$2:$B$313,2,FALSE)),"",VLOOKUP(D5,テーブル一覧!$A$2:$B$313,2,FALSE))</f>
        <v>稼動計画－点検</v>
      </c>
      <c r="D5" s="1" t="s">
        <v>415</v>
      </c>
      <c r="E5" t="str">
        <f>OPERATION_TABLELIST[[#This Row],[テーブル名]]</f>
        <v>稼動計画－点検</v>
      </c>
    </row>
    <row r="6" spans="1:5" x14ac:dyDescent="0.15">
      <c r="A6">
        <f>IF(ISBLANK( OPERATION_TABLELIST[[#This Row],[物理名]]),"",ROW()-1)</f>
        <v>5</v>
      </c>
      <c r="B6" t="s">
        <v>473</v>
      </c>
      <c r="C6" t="str">
        <f>IF(ISNA( VLOOKUP(D6,テーブル一覧!$A$2:$B$313,2,FALSE)),"",VLOOKUP(D6,テーブル一覧!$A$2:$B$313,2,FALSE))</f>
        <v>稼動計画－交換</v>
      </c>
      <c r="D6" s="1" t="s">
        <v>416</v>
      </c>
      <c r="E6" t="str">
        <f>OPERATION_TABLELIST[[#This Row],[テーブル名]]</f>
        <v>稼動計画－交換</v>
      </c>
    </row>
    <row r="7" spans="1:5" x14ac:dyDescent="0.15">
      <c r="A7">
        <f>IF(ISBLANK( OPERATION_TABLELIST[[#This Row],[物理名]]),"",ROW()-1)</f>
        <v>6</v>
      </c>
      <c r="B7" t="s">
        <v>473</v>
      </c>
      <c r="C7" t="str">
        <f>IF(ISNA( VLOOKUP(D7,テーブル一覧!$A$2:$B$313,2,FALSE)),"",VLOOKUP(D7,テーブル一覧!$A$2:$B$313,2,FALSE))</f>
        <v>稼動計画－稼動異常項目</v>
      </c>
      <c r="D7" s="1" t="s">
        <v>417</v>
      </c>
      <c r="E7" t="str">
        <f>OPERATION_TABLELIST[[#This Row],[テーブル名]]</f>
        <v>稼動計画－稼動異常項目</v>
      </c>
    </row>
    <row r="8" spans="1:5" x14ac:dyDescent="0.15">
      <c r="A8">
        <f>IF(ISBLANK( OPERATION_TABLELIST[[#This Row],[物理名]]),"",ROW()-1)</f>
        <v>7</v>
      </c>
      <c r="B8" t="s">
        <v>473</v>
      </c>
      <c r="C8" t="str">
        <f>IF(ISNA( VLOOKUP(D8,テーブル一覧!$A$2:$B$313,2,FALSE)),"",VLOOKUP(D8,テーブル一覧!$A$2:$B$313,2,FALSE))</f>
        <v>稼動明細－基本実績</v>
      </c>
      <c r="D8" s="1" t="s">
        <v>474</v>
      </c>
      <c r="E8" t="str">
        <f>OPERATION_TABLELIST[[#This Row],[テーブル名]]</f>
        <v>稼動明細－基本実績</v>
      </c>
    </row>
    <row r="9" spans="1:5" x14ac:dyDescent="0.15">
      <c r="A9">
        <f>IF(ISBLANK( OPERATION_TABLELIST[[#This Row],[物理名]]),"",ROW()-1)</f>
        <v>8</v>
      </c>
      <c r="B9" t="s">
        <v>473</v>
      </c>
      <c r="C9" t="str">
        <f>IF(ISNA( VLOOKUP(D9,テーブル一覧!$A$2:$B$313,2,FALSE)),"",VLOOKUP(D9,テーブル一覧!$A$2:$B$313,2,FALSE))</f>
        <v>稼動実績－能力実績</v>
      </c>
      <c r="D9" s="1" t="s">
        <v>475</v>
      </c>
      <c r="E9" t="str">
        <f>OPERATION_TABLELIST[[#This Row],[テーブル名]]</f>
        <v>稼動実績－能力実績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UsedRange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6</xdr:col>
                    <xdr:colOff>609600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3"/>
  <sheetViews>
    <sheetView workbookViewId="0">
      <selection activeCell="A50" sqref="A50"/>
    </sheetView>
  </sheetViews>
  <sheetFormatPr defaultRowHeight="13.5" x14ac:dyDescent="0.15"/>
  <cols>
    <col min="1" max="1" width="76.875" bestFit="1" customWidth="1"/>
    <col min="2" max="2" width="53" bestFit="1" customWidth="1"/>
  </cols>
  <sheetData>
    <row r="1" spans="1:2" x14ac:dyDescent="0.15">
      <c r="A1" t="s">
        <v>674</v>
      </c>
      <c r="B1" t="s">
        <v>676</v>
      </c>
    </row>
    <row r="2" spans="1:2" x14ac:dyDescent="0.15">
      <c r="A2" t="s">
        <v>480</v>
      </c>
      <c r="B2" t="s">
        <v>479</v>
      </c>
    </row>
    <row r="3" spans="1:2" x14ac:dyDescent="0.15">
      <c r="A3" t="s">
        <v>367</v>
      </c>
      <c r="B3" t="s">
        <v>186</v>
      </c>
    </row>
    <row r="4" spans="1:2" x14ac:dyDescent="0.15">
      <c r="A4" t="s">
        <v>368</v>
      </c>
      <c r="B4" t="s">
        <v>3</v>
      </c>
    </row>
    <row r="5" spans="1:2" x14ac:dyDescent="0.15">
      <c r="A5" t="s">
        <v>369</v>
      </c>
      <c r="B5" t="s">
        <v>187</v>
      </c>
    </row>
    <row r="6" spans="1:2" x14ac:dyDescent="0.15">
      <c r="A6" t="s">
        <v>370</v>
      </c>
      <c r="B6" t="s">
        <v>188</v>
      </c>
    </row>
    <row r="7" spans="1:2" x14ac:dyDescent="0.15">
      <c r="A7" t="s">
        <v>371</v>
      </c>
      <c r="B7" t="s">
        <v>189</v>
      </c>
    </row>
    <row r="8" spans="1:2" x14ac:dyDescent="0.15">
      <c r="A8" t="s">
        <v>372</v>
      </c>
      <c r="B8" t="s">
        <v>190</v>
      </c>
    </row>
    <row r="9" spans="1:2" x14ac:dyDescent="0.15">
      <c r="A9" t="s">
        <v>373</v>
      </c>
      <c r="B9" t="s">
        <v>588</v>
      </c>
    </row>
    <row r="10" spans="1:2" x14ac:dyDescent="0.15">
      <c r="A10" t="s">
        <v>374</v>
      </c>
      <c r="B10" t="s">
        <v>191</v>
      </c>
    </row>
    <row r="11" spans="1:2" x14ac:dyDescent="0.15">
      <c r="A11" t="s">
        <v>375</v>
      </c>
      <c r="B11" t="s">
        <v>192</v>
      </c>
    </row>
    <row r="12" spans="1:2" x14ac:dyDescent="0.15">
      <c r="A12" t="s">
        <v>376</v>
      </c>
      <c r="B12" t="s">
        <v>193</v>
      </c>
    </row>
    <row r="13" spans="1:2" x14ac:dyDescent="0.15">
      <c r="A13" t="s">
        <v>377</v>
      </c>
      <c r="B13" t="s">
        <v>194</v>
      </c>
    </row>
    <row r="14" spans="1:2" x14ac:dyDescent="0.15">
      <c r="A14" t="s">
        <v>378</v>
      </c>
      <c r="B14" t="s">
        <v>487</v>
      </c>
    </row>
    <row r="15" spans="1:2" x14ac:dyDescent="0.15">
      <c r="A15" t="s">
        <v>483</v>
      </c>
      <c r="B15" t="s">
        <v>485</v>
      </c>
    </row>
    <row r="16" spans="1:2" x14ac:dyDescent="0.15">
      <c r="A16" t="s">
        <v>489</v>
      </c>
      <c r="B16" t="s">
        <v>490</v>
      </c>
    </row>
    <row r="17" spans="1:2" x14ac:dyDescent="0.15">
      <c r="A17" t="s">
        <v>379</v>
      </c>
      <c r="B17" t="s">
        <v>195</v>
      </c>
    </row>
    <row r="18" spans="1:2" x14ac:dyDescent="0.15">
      <c r="A18" t="s">
        <v>380</v>
      </c>
      <c r="B18" t="s">
        <v>196</v>
      </c>
    </row>
    <row r="19" spans="1:2" x14ac:dyDescent="0.15">
      <c r="A19" t="s">
        <v>381</v>
      </c>
      <c r="B19" t="s">
        <v>197</v>
      </c>
    </row>
    <row r="20" spans="1:2" x14ac:dyDescent="0.15">
      <c r="A20" t="s">
        <v>382</v>
      </c>
      <c r="B20" t="s">
        <v>198</v>
      </c>
    </row>
    <row r="21" spans="1:2" x14ac:dyDescent="0.15">
      <c r="A21" t="s">
        <v>383</v>
      </c>
      <c r="B21" t="s">
        <v>199</v>
      </c>
    </row>
    <row r="22" spans="1:2" x14ac:dyDescent="0.15">
      <c r="A22" t="s">
        <v>384</v>
      </c>
      <c r="B22" t="s">
        <v>200</v>
      </c>
    </row>
    <row r="23" spans="1:2" x14ac:dyDescent="0.15">
      <c r="A23" t="s">
        <v>385</v>
      </c>
      <c r="B23" t="s">
        <v>201</v>
      </c>
    </row>
    <row r="24" spans="1:2" x14ac:dyDescent="0.15">
      <c r="A24" t="s">
        <v>386</v>
      </c>
      <c r="B24" t="s">
        <v>202</v>
      </c>
    </row>
    <row r="25" spans="1:2" x14ac:dyDescent="0.15">
      <c r="A25" t="s">
        <v>387</v>
      </c>
      <c r="B25" t="s">
        <v>203</v>
      </c>
    </row>
    <row r="26" spans="1:2" x14ac:dyDescent="0.15">
      <c r="A26" t="s">
        <v>388</v>
      </c>
      <c r="B26" t="s">
        <v>204</v>
      </c>
    </row>
    <row r="27" spans="1:2" x14ac:dyDescent="0.15">
      <c r="A27" t="s">
        <v>389</v>
      </c>
      <c r="B27" t="s">
        <v>205</v>
      </c>
    </row>
    <row r="28" spans="1:2" x14ac:dyDescent="0.15">
      <c r="A28" t="s">
        <v>390</v>
      </c>
      <c r="B28" t="s">
        <v>6</v>
      </c>
    </row>
    <row r="29" spans="1:2" x14ac:dyDescent="0.15">
      <c r="A29" t="s">
        <v>391</v>
      </c>
      <c r="B29" t="s">
        <v>206</v>
      </c>
    </row>
    <row r="30" spans="1:2" x14ac:dyDescent="0.15">
      <c r="A30" t="s">
        <v>392</v>
      </c>
      <c r="B30" t="s">
        <v>207</v>
      </c>
    </row>
    <row r="31" spans="1:2" x14ac:dyDescent="0.15">
      <c r="A31" t="s">
        <v>393</v>
      </c>
      <c r="B31" t="s">
        <v>208</v>
      </c>
    </row>
    <row r="32" spans="1:2" x14ac:dyDescent="0.15">
      <c r="A32" t="s">
        <v>394</v>
      </c>
      <c r="B32" t="s">
        <v>209</v>
      </c>
    </row>
    <row r="33" spans="1:2" x14ac:dyDescent="0.15">
      <c r="A33" t="s">
        <v>395</v>
      </c>
      <c r="B33" t="s">
        <v>210</v>
      </c>
    </row>
    <row r="34" spans="1:2" x14ac:dyDescent="0.15">
      <c r="A34" t="s">
        <v>396</v>
      </c>
      <c r="B34" t="s">
        <v>211</v>
      </c>
    </row>
    <row r="35" spans="1:2" x14ac:dyDescent="0.15">
      <c r="A35" t="s">
        <v>397</v>
      </c>
      <c r="B35" t="s">
        <v>212</v>
      </c>
    </row>
    <row r="36" spans="1:2" x14ac:dyDescent="0.15">
      <c r="A36" t="s">
        <v>398</v>
      </c>
      <c r="B36" t="s">
        <v>213</v>
      </c>
    </row>
    <row r="37" spans="1:2" x14ac:dyDescent="0.15">
      <c r="A37" t="s">
        <v>399</v>
      </c>
      <c r="B37" t="s">
        <v>214</v>
      </c>
    </row>
    <row r="38" spans="1:2" x14ac:dyDescent="0.15">
      <c r="A38" t="s">
        <v>400</v>
      </c>
      <c r="B38" t="s">
        <v>215</v>
      </c>
    </row>
    <row r="39" spans="1:2" x14ac:dyDescent="0.15">
      <c r="A39" t="s">
        <v>401</v>
      </c>
      <c r="B39" t="s">
        <v>216</v>
      </c>
    </row>
    <row r="40" spans="1:2" x14ac:dyDescent="0.15">
      <c r="A40" t="s">
        <v>402</v>
      </c>
      <c r="B40" t="s">
        <v>217</v>
      </c>
    </row>
    <row r="41" spans="1:2" x14ac:dyDescent="0.15">
      <c r="A41" t="s">
        <v>503</v>
      </c>
      <c r="B41" t="s">
        <v>504</v>
      </c>
    </row>
    <row r="42" spans="1:2" x14ac:dyDescent="0.15">
      <c r="A42" t="s">
        <v>506</v>
      </c>
      <c r="B42" t="s">
        <v>507</v>
      </c>
    </row>
    <row r="43" spans="1:2" x14ac:dyDescent="0.15">
      <c r="A43" t="s">
        <v>508</v>
      </c>
      <c r="B43" t="s">
        <v>509</v>
      </c>
    </row>
    <row r="44" spans="1:2" x14ac:dyDescent="0.15">
      <c r="A44" t="s">
        <v>510</v>
      </c>
      <c r="B44" t="s">
        <v>511</v>
      </c>
    </row>
    <row r="45" spans="1:2" x14ac:dyDescent="0.15">
      <c r="A45" t="s">
        <v>514</v>
      </c>
      <c r="B45" t="s">
        <v>513</v>
      </c>
    </row>
    <row r="46" spans="1:2" x14ac:dyDescent="0.15">
      <c r="A46" t="s">
        <v>515</v>
      </c>
      <c r="B46" t="s">
        <v>526</v>
      </c>
    </row>
    <row r="47" spans="1:2" x14ac:dyDescent="0.15">
      <c r="A47" t="s">
        <v>517</v>
      </c>
      <c r="B47" t="s">
        <v>527</v>
      </c>
    </row>
    <row r="48" spans="1:2" x14ac:dyDescent="0.15">
      <c r="A48" t="s">
        <v>519</v>
      </c>
      <c r="B48" t="s">
        <v>528</v>
      </c>
    </row>
    <row r="49" spans="1:2" x14ac:dyDescent="0.15">
      <c r="A49" t="s">
        <v>521</v>
      </c>
      <c r="B49" t="s">
        <v>529</v>
      </c>
    </row>
    <row r="50" spans="1:2" x14ac:dyDescent="0.15">
      <c r="A50" t="s">
        <v>523</v>
      </c>
      <c r="B50" t="s">
        <v>530</v>
      </c>
    </row>
    <row r="51" spans="1:2" x14ac:dyDescent="0.15">
      <c r="A51" t="s">
        <v>525</v>
      </c>
      <c r="B51" t="s">
        <v>531</v>
      </c>
    </row>
    <row r="52" spans="1:2" x14ac:dyDescent="0.15">
      <c r="A52" t="s">
        <v>533</v>
      </c>
      <c r="B52" t="s">
        <v>534</v>
      </c>
    </row>
    <row r="53" spans="1:2" x14ac:dyDescent="0.15">
      <c r="A53" t="s">
        <v>536</v>
      </c>
      <c r="B53" t="s">
        <v>537</v>
      </c>
    </row>
    <row r="54" spans="1:2" x14ac:dyDescent="0.15">
      <c r="A54" t="s">
        <v>539</v>
      </c>
      <c r="B54" t="s">
        <v>538</v>
      </c>
    </row>
    <row r="55" spans="1:2" x14ac:dyDescent="0.15">
      <c r="A55" t="s">
        <v>541</v>
      </c>
      <c r="B55" t="s">
        <v>545</v>
      </c>
    </row>
    <row r="56" spans="1:2" x14ac:dyDescent="0.15">
      <c r="A56" t="s">
        <v>542</v>
      </c>
      <c r="B56" t="s">
        <v>546</v>
      </c>
    </row>
    <row r="57" spans="1:2" x14ac:dyDescent="0.15">
      <c r="A57" t="s">
        <v>544</v>
      </c>
      <c r="B57" t="s">
        <v>547</v>
      </c>
    </row>
    <row r="58" spans="1:2" x14ac:dyDescent="0.15">
      <c r="A58" t="s">
        <v>549</v>
      </c>
      <c r="B58" t="s">
        <v>570</v>
      </c>
    </row>
    <row r="59" spans="1:2" x14ac:dyDescent="0.15">
      <c r="A59" t="s">
        <v>551</v>
      </c>
      <c r="B59" t="s">
        <v>571</v>
      </c>
    </row>
    <row r="60" spans="1:2" x14ac:dyDescent="0.15">
      <c r="A60" t="s">
        <v>553</v>
      </c>
      <c r="B60" t="s">
        <v>572</v>
      </c>
    </row>
    <row r="61" spans="1:2" x14ac:dyDescent="0.15">
      <c r="A61" t="s">
        <v>555</v>
      </c>
      <c r="B61" t="s">
        <v>573</v>
      </c>
    </row>
    <row r="62" spans="1:2" x14ac:dyDescent="0.15">
      <c r="A62" t="s">
        <v>557</v>
      </c>
      <c r="B62" t="s">
        <v>574</v>
      </c>
    </row>
    <row r="63" spans="1:2" x14ac:dyDescent="0.15">
      <c r="A63" t="s">
        <v>558</v>
      </c>
      <c r="B63" t="s">
        <v>575</v>
      </c>
    </row>
    <row r="64" spans="1:2" x14ac:dyDescent="0.15">
      <c r="A64" t="s">
        <v>559</v>
      </c>
      <c r="B64" t="s">
        <v>576</v>
      </c>
    </row>
    <row r="65" spans="1:2" x14ac:dyDescent="0.15">
      <c r="A65" t="s">
        <v>560</v>
      </c>
      <c r="B65" t="s">
        <v>577</v>
      </c>
    </row>
    <row r="66" spans="1:2" x14ac:dyDescent="0.15">
      <c r="A66" t="s">
        <v>561</v>
      </c>
      <c r="B66" t="s">
        <v>578</v>
      </c>
    </row>
    <row r="67" spans="1:2" x14ac:dyDescent="0.15">
      <c r="A67" t="s">
        <v>562</v>
      </c>
      <c r="B67" t="s">
        <v>579</v>
      </c>
    </row>
    <row r="68" spans="1:2" x14ac:dyDescent="0.15">
      <c r="A68" t="s">
        <v>563</v>
      </c>
      <c r="B68" t="s">
        <v>580</v>
      </c>
    </row>
    <row r="69" spans="1:2" x14ac:dyDescent="0.15">
      <c r="A69" t="s">
        <v>564</v>
      </c>
      <c r="B69" t="s">
        <v>581</v>
      </c>
    </row>
    <row r="70" spans="1:2" x14ac:dyDescent="0.15">
      <c r="A70" t="s">
        <v>565</v>
      </c>
      <c r="B70" t="s">
        <v>582</v>
      </c>
    </row>
    <row r="71" spans="1:2" x14ac:dyDescent="0.15">
      <c r="A71" t="s">
        <v>566</v>
      </c>
      <c r="B71" t="s">
        <v>583</v>
      </c>
    </row>
    <row r="72" spans="1:2" x14ac:dyDescent="0.15">
      <c r="A72" t="s">
        <v>567</v>
      </c>
      <c r="B72" t="s">
        <v>584</v>
      </c>
    </row>
    <row r="73" spans="1:2" x14ac:dyDescent="0.15">
      <c r="A73" t="s">
        <v>568</v>
      </c>
      <c r="B73" t="s">
        <v>585</v>
      </c>
    </row>
    <row r="74" spans="1:2" x14ac:dyDescent="0.15">
      <c r="A74" t="s">
        <v>569</v>
      </c>
      <c r="B74" t="s">
        <v>586</v>
      </c>
    </row>
    <row r="75" spans="1:2" x14ac:dyDescent="0.15">
      <c r="A75" t="s">
        <v>403</v>
      </c>
      <c r="B75" t="s">
        <v>218</v>
      </c>
    </row>
    <row r="76" spans="1:2" x14ac:dyDescent="0.15">
      <c r="A76" t="s">
        <v>404</v>
      </c>
      <c r="B76" t="s">
        <v>219</v>
      </c>
    </row>
    <row r="77" spans="1:2" x14ac:dyDescent="0.15">
      <c r="A77" t="s">
        <v>405</v>
      </c>
      <c r="B77" t="s">
        <v>220</v>
      </c>
    </row>
    <row r="78" spans="1:2" x14ac:dyDescent="0.15">
      <c r="A78" t="s">
        <v>406</v>
      </c>
      <c r="B78" t="s">
        <v>221</v>
      </c>
    </row>
    <row r="79" spans="1:2" x14ac:dyDescent="0.15">
      <c r="A79" t="s">
        <v>407</v>
      </c>
      <c r="B79" t="s">
        <v>222</v>
      </c>
    </row>
    <row r="80" spans="1:2" x14ac:dyDescent="0.15">
      <c r="A80" t="s">
        <v>408</v>
      </c>
      <c r="B80" t="s">
        <v>223</v>
      </c>
    </row>
    <row r="81" spans="1:2" x14ac:dyDescent="0.15">
      <c r="A81" t="s">
        <v>409</v>
      </c>
      <c r="B81" t="s">
        <v>224</v>
      </c>
    </row>
    <row r="82" spans="1:2" x14ac:dyDescent="0.15">
      <c r="A82" t="s">
        <v>410</v>
      </c>
      <c r="B82" t="s">
        <v>225</v>
      </c>
    </row>
    <row r="83" spans="1:2" x14ac:dyDescent="0.15">
      <c r="A83" t="s">
        <v>7</v>
      </c>
      <c r="B83" t="s">
        <v>226</v>
      </c>
    </row>
    <row r="84" spans="1:2" x14ac:dyDescent="0.15">
      <c r="A84" t="s">
        <v>411</v>
      </c>
      <c r="B84" t="s">
        <v>227</v>
      </c>
    </row>
    <row r="85" spans="1:2" x14ac:dyDescent="0.15">
      <c r="A85" t="s">
        <v>412</v>
      </c>
      <c r="B85" t="s">
        <v>228</v>
      </c>
    </row>
    <row r="86" spans="1:2" x14ac:dyDescent="0.15">
      <c r="A86" t="s">
        <v>8</v>
      </c>
      <c r="B86" t="s">
        <v>229</v>
      </c>
    </row>
    <row r="87" spans="1:2" x14ac:dyDescent="0.15">
      <c r="A87" t="s">
        <v>9</v>
      </c>
      <c r="B87" t="s">
        <v>230</v>
      </c>
    </row>
    <row r="88" spans="1:2" x14ac:dyDescent="0.15">
      <c r="A88" t="s">
        <v>10</v>
      </c>
      <c r="B88" t="s">
        <v>231</v>
      </c>
    </row>
    <row r="89" spans="1:2" x14ac:dyDescent="0.15">
      <c r="A89" t="s">
        <v>11</v>
      </c>
      <c r="B89" t="s">
        <v>232</v>
      </c>
    </row>
    <row r="90" spans="1:2" x14ac:dyDescent="0.15">
      <c r="A90" t="s">
        <v>12</v>
      </c>
      <c r="B90" t="s">
        <v>233</v>
      </c>
    </row>
    <row r="91" spans="1:2" x14ac:dyDescent="0.15">
      <c r="A91" t="s">
        <v>13</v>
      </c>
      <c r="B91" t="s">
        <v>234</v>
      </c>
    </row>
    <row r="92" spans="1:2" x14ac:dyDescent="0.15">
      <c r="A92" t="s">
        <v>14</v>
      </c>
      <c r="B92" t="s">
        <v>235</v>
      </c>
    </row>
    <row r="93" spans="1:2" x14ac:dyDescent="0.15">
      <c r="A93" t="s">
        <v>15</v>
      </c>
      <c r="B93" t="s">
        <v>589</v>
      </c>
    </row>
    <row r="94" spans="1:2" x14ac:dyDescent="0.15">
      <c r="A94" t="s">
        <v>16</v>
      </c>
      <c r="B94" t="s">
        <v>590</v>
      </c>
    </row>
    <row r="95" spans="1:2" x14ac:dyDescent="0.15">
      <c r="A95" t="s">
        <v>17</v>
      </c>
      <c r="B95" t="s">
        <v>591</v>
      </c>
    </row>
    <row r="96" spans="1:2" x14ac:dyDescent="0.15">
      <c r="A96" t="s">
        <v>18</v>
      </c>
      <c r="B96" t="s">
        <v>592</v>
      </c>
    </row>
    <row r="97" spans="1:2" x14ac:dyDescent="0.15">
      <c r="A97" t="s">
        <v>19</v>
      </c>
      <c r="B97" t="s">
        <v>593</v>
      </c>
    </row>
    <row r="98" spans="1:2" x14ac:dyDescent="0.15">
      <c r="A98" t="s">
        <v>413</v>
      </c>
      <c r="B98" t="s">
        <v>594</v>
      </c>
    </row>
    <row r="99" spans="1:2" x14ac:dyDescent="0.15">
      <c r="A99" t="s">
        <v>20</v>
      </c>
      <c r="B99" t="s">
        <v>595</v>
      </c>
    </row>
    <row r="100" spans="1:2" x14ac:dyDescent="0.15">
      <c r="A100" t="s">
        <v>21</v>
      </c>
      <c r="B100" t="s">
        <v>596</v>
      </c>
    </row>
    <row r="101" spans="1:2" x14ac:dyDescent="0.15">
      <c r="A101" t="s">
        <v>414</v>
      </c>
      <c r="B101" t="s">
        <v>597</v>
      </c>
    </row>
    <row r="102" spans="1:2" x14ac:dyDescent="0.15">
      <c r="A102" t="s">
        <v>22</v>
      </c>
      <c r="B102" t="s">
        <v>598</v>
      </c>
    </row>
    <row r="103" spans="1:2" x14ac:dyDescent="0.15">
      <c r="A103" t="s">
        <v>415</v>
      </c>
      <c r="B103" t="s">
        <v>599</v>
      </c>
    </row>
    <row r="104" spans="1:2" x14ac:dyDescent="0.15">
      <c r="A104" t="s">
        <v>23</v>
      </c>
      <c r="B104" t="s">
        <v>600</v>
      </c>
    </row>
    <row r="105" spans="1:2" x14ac:dyDescent="0.15">
      <c r="A105" t="s">
        <v>416</v>
      </c>
      <c r="B105" t="s">
        <v>601</v>
      </c>
    </row>
    <row r="106" spans="1:2" x14ac:dyDescent="0.15">
      <c r="A106" t="s">
        <v>24</v>
      </c>
      <c r="B106" t="s">
        <v>602</v>
      </c>
    </row>
    <row r="107" spans="1:2" x14ac:dyDescent="0.15">
      <c r="A107" t="s">
        <v>417</v>
      </c>
      <c r="B107" t="s">
        <v>603</v>
      </c>
    </row>
    <row r="108" spans="1:2" x14ac:dyDescent="0.15">
      <c r="A108" t="s">
        <v>418</v>
      </c>
      <c r="B108" t="s">
        <v>604</v>
      </c>
    </row>
    <row r="109" spans="1:2" x14ac:dyDescent="0.15">
      <c r="A109" t="s">
        <v>419</v>
      </c>
      <c r="B109" t="s">
        <v>605</v>
      </c>
    </row>
    <row r="110" spans="1:2" x14ac:dyDescent="0.15">
      <c r="A110" t="s">
        <v>420</v>
      </c>
      <c r="B110" t="s">
        <v>606</v>
      </c>
    </row>
    <row r="111" spans="1:2" x14ac:dyDescent="0.15">
      <c r="A111" t="s">
        <v>421</v>
      </c>
      <c r="B111" t="s">
        <v>607</v>
      </c>
    </row>
    <row r="112" spans="1:2" x14ac:dyDescent="0.15">
      <c r="A112" t="s">
        <v>422</v>
      </c>
      <c r="B112" t="s">
        <v>608</v>
      </c>
    </row>
    <row r="113" spans="1:2" x14ac:dyDescent="0.15">
      <c r="A113" t="s">
        <v>423</v>
      </c>
      <c r="B113" t="s">
        <v>609</v>
      </c>
    </row>
    <row r="114" spans="1:2" x14ac:dyDescent="0.15">
      <c r="A114" t="s">
        <v>424</v>
      </c>
      <c r="B114" t="s">
        <v>610</v>
      </c>
    </row>
    <row r="115" spans="1:2" x14ac:dyDescent="0.15">
      <c r="A115" t="s">
        <v>425</v>
      </c>
      <c r="B115" t="s">
        <v>611</v>
      </c>
    </row>
    <row r="116" spans="1:2" x14ac:dyDescent="0.15">
      <c r="A116" t="s">
        <v>426</v>
      </c>
      <c r="B116" t="s">
        <v>612</v>
      </c>
    </row>
    <row r="117" spans="1:2" x14ac:dyDescent="0.15">
      <c r="A117" t="s">
        <v>427</v>
      </c>
      <c r="B117" t="s">
        <v>613</v>
      </c>
    </row>
    <row r="118" spans="1:2" x14ac:dyDescent="0.15">
      <c r="A118" t="s">
        <v>428</v>
      </c>
      <c r="B118" t="s">
        <v>614</v>
      </c>
    </row>
    <row r="119" spans="1:2" x14ac:dyDescent="0.15">
      <c r="A119" t="s">
        <v>429</v>
      </c>
      <c r="B119" t="s">
        <v>615</v>
      </c>
    </row>
    <row r="120" spans="1:2" x14ac:dyDescent="0.15">
      <c r="A120" t="s">
        <v>430</v>
      </c>
      <c r="B120" t="s">
        <v>616</v>
      </c>
    </row>
    <row r="121" spans="1:2" x14ac:dyDescent="0.15">
      <c r="A121" t="s">
        <v>431</v>
      </c>
      <c r="B121" t="s">
        <v>617</v>
      </c>
    </row>
    <row r="122" spans="1:2" x14ac:dyDescent="0.15">
      <c r="A122" t="s">
        <v>432</v>
      </c>
      <c r="B122" t="s">
        <v>618</v>
      </c>
    </row>
    <row r="123" spans="1:2" x14ac:dyDescent="0.15">
      <c r="A123" t="s">
        <v>433</v>
      </c>
      <c r="B123" t="s">
        <v>619</v>
      </c>
    </row>
    <row r="124" spans="1:2" x14ac:dyDescent="0.15">
      <c r="A124" t="s">
        <v>434</v>
      </c>
      <c r="B124" t="s">
        <v>620</v>
      </c>
    </row>
    <row r="125" spans="1:2" x14ac:dyDescent="0.15">
      <c r="A125" t="s">
        <v>25</v>
      </c>
      <c r="B125" t="s">
        <v>621</v>
      </c>
    </row>
    <row r="126" spans="1:2" x14ac:dyDescent="0.15">
      <c r="A126" t="s">
        <v>26</v>
      </c>
      <c r="B126" t="s">
        <v>622</v>
      </c>
    </row>
    <row r="127" spans="1:2" x14ac:dyDescent="0.15">
      <c r="A127" t="s">
        <v>435</v>
      </c>
      <c r="B127" t="s">
        <v>623</v>
      </c>
    </row>
    <row r="128" spans="1:2" x14ac:dyDescent="0.15">
      <c r="A128" t="s">
        <v>27</v>
      </c>
      <c r="B128" t="s">
        <v>624</v>
      </c>
    </row>
    <row r="129" spans="1:2" x14ac:dyDescent="0.15">
      <c r="A129" t="s">
        <v>28</v>
      </c>
      <c r="B129" t="s">
        <v>625</v>
      </c>
    </row>
    <row r="130" spans="1:2" x14ac:dyDescent="0.15">
      <c r="A130" t="s">
        <v>29</v>
      </c>
      <c r="B130" t="s">
        <v>626</v>
      </c>
    </row>
    <row r="131" spans="1:2" x14ac:dyDescent="0.15">
      <c r="A131" t="s">
        <v>30</v>
      </c>
      <c r="B131" t="s">
        <v>627</v>
      </c>
    </row>
    <row r="132" spans="1:2" x14ac:dyDescent="0.15">
      <c r="A132" t="s">
        <v>31</v>
      </c>
      <c r="B132" t="s">
        <v>628</v>
      </c>
    </row>
    <row r="133" spans="1:2" x14ac:dyDescent="0.15">
      <c r="A133" t="s">
        <v>32</v>
      </c>
      <c r="B133" t="s">
        <v>629</v>
      </c>
    </row>
    <row r="134" spans="1:2" x14ac:dyDescent="0.15">
      <c r="A134" t="s">
        <v>33</v>
      </c>
      <c r="B134" t="s">
        <v>630</v>
      </c>
    </row>
    <row r="135" spans="1:2" x14ac:dyDescent="0.15">
      <c r="A135" t="s">
        <v>34</v>
      </c>
      <c r="B135" t="s">
        <v>631</v>
      </c>
    </row>
    <row r="136" spans="1:2" x14ac:dyDescent="0.15">
      <c r="A136" t="s">
        <v>35</v>
      </c>
      <c r="B136" t="s">
        <v>632</v>
      </c>
    </row>
    <row r="137" spans="1:2" x14ac:dyDescent="0.15">
      <c r="A137" t="s">
        <v>36</v>
      </c>
      <c r="B137" t="s">
        <v>633</v>
      </c>
    </row>
    <row r="138" spans="1:2" x14ac:dyDescent="0.15">
      <c r="A138" t="s">
        <v>37</v>
      </c>
      <c r="B138" t="s">
        <v>634</v>
      </c>
    </row>
    <row r="139" spans="1:2" x14ac:dyDescent="0.15">
      <c r="A139" t="s">
        <v>38</v>
      </c>
      <c r="B139" t="s">
        <v>635</v>
      </c>
    </row>
    <row r="140" spans="1:2" x14ac:dyDescent="0.15">
      <c r="A140" t="s">
        <v>436</v>
      </c>
      <c r="B140" t="s">
        <v>236</v>
      </c>
    </row>
    <row r="141" spans="1:2" x14ac:dyDescent="0.15">
      <c r="A141" t="s">
        <v>437</v>
      </c>
      <c r="B141" t="s">
        <v>237</v>
      </c>
    </row>
    <row r="142" spans="1:2" x14ac:dyDescent="0.15">
      <c r="A142" t="s">
        <v>39</v>
      </c>
      <c r="B142" t="s">
        <v>636</v>
      </c>
    </row>
    <row r="143" spans="1:2" x14ac:dyDescent="0.15">
      <c r="A143" t="s">
        <v>40</v>
      </c>
      <c r="B143" t="s">
        <v>238</v>
      </c>
    </row>
    <row r="144" spans="1:2" x14ac:dyDescent="0.15">
      <c r="A144" t="s">
        <v>438</v>
      </c>
      <c r="B144" t="s">
        <v>239</v>
      </c>
    </row>
    <row r="145" spans="1:2" x14ac:dyDescent="0.15">
      <c r="A145" t="s">
        <v>671</v>
      </c>
      <c r="B145" t="s">
        <v>672</v>
      </c>
    </row>
    <row r="146" spans="1:2" x14ac:dyDescent="0.15">
      <c r="A146" t="s">
        <v>41</v>
      </c>
      <c r="B146" t="s">
        <v>240</v>
      </c>
    </row>
    <row r="147" spans="1:2" x14ac:dyDescent="0.15">
      <c r="A147" t="s">
        <v>439</v>
      </c>
      <c r="B147" t="s">
        <v>241</v>
      </c>
    </row>
    <row r="148" spans="1:2" x14ac:dyDescent="0.15">
      <c r="A148" t="s">
        <v>42</v>
      </c>
      <c r="B148" t="s">
        <v>242</v>
      </c>
    </row>
    <row r="149" spans="1:2" x14ac:dyDescent="0.15">
      <c r="A149" t="s">
        <v>43</v>
      </c>
      <c r="B149" t="s">
        <v>243</v>
      </c>
    </row>
    <row r="150" spans="1:2" x14ac:dyDescent="0.15">
      <c r="A150" t="s">
        <v>44</v>
      </c>
      <c r="B150" t="s">
        <v>244</v>
      </c>
    </row>
    <row r="151" spans="1:2" x14ac:dyDescent="0.15">
      <c r="A151" t="s">
        <v>45</v>
      </c>
      <c r="B151" t="s">
        <v>245</v>
      </c>
    </row>
    <row r="152" spans="1:2" x14ac:dyDescent="0.15">
      <c r="A152" t="s">
        <v>46</v>
      </c>
      <c r="B152" t="s">
        <v>246</v>
      </c>
    </row>
    <row r="153" spans="1:2" x14ac:dyDescent="0.15">
      <c r="A153" t="s">
        <v>440</v>
      </c>
      <c r="B153" t="s">
        <v>47</v>
      </c>
    </row>
    <row r="154" spans="1:2" x14ac:dyDescent="0.15">
      <c r="A154" t="s">
        <v>441</v>
      </c>
      <c r="B154" t="s">
        <v>48</v>
      </c>
    </row>
    <row r="155" spans="1:2" x14ac:dyDescent="0.15">
      <c r="A155" t="s">
        <v>49</v>
      </c>
      <c r="B155" t="s">
        <v>247</v>
      </c>
    </row>
    <row r="156" spans="1:2" x14ac:dyDescent="0.15">
      <c r="A156" t="s">
        <v>442</v>
      </c>
      <c r="B156" t="s">
        <v>50</v>
      </c>
    </row>
    <row r="157" spans="1:2" x14ac:dyDescent="0.15">
      <c r="A157" t="s">
        <v>51</v>
      </c>
      <c r="B157" t="s">
        <v>248</v>
      </c>
    </row>
    <row r="158" spans="1:2" x14ac:dyDescent="0.15">
      <c r="A158" t="s">
        <v>52</v>
      </c>
      <c r="B158" t="s">
        <v>249</v>
      </c>
    </row>
    <row r="159" spans="1:2" x14ac:dyDescent="0.15">
      <c r="A159" t="s">
        <v>443</v>
      </c>
      <c r="B159" t="s">
        <v>250</v>
      </c>
    </row>
    <row r="160" spans="1:2" x14ac:dyDescent="0.15">
      <c r="A160" t="s">
        <v>444</v>
      </c>
      <c r="B160" t="s">
        <v>251</v>
      </c>
    </row>
    <row r="161" spans="1:2" x14ac:dyDescent="0.15">
      <c r="A161" t="s">
        <v>53</v>
      </c>
      <c r="B161" t="s">
        <v>252</v>
      </c>
    </row>
    <row r="162" spans="1:2" x14ac:dyDescent="0.15">
      <c r="A162" t="s">
        <v>445</v>
      </c>
      <c r="B162" t="s">
        <v>253</v>
      </c>
    </row>
    <row r="163" spans="1:2" x14ac:dyDescent="0.15">
      <c r="A163" t="s">
        <v>446</v>
      </c>
      <c r="B163" t="s">
        <v>254</v>
      </c>
    </row>
    <row r="164" spans="1:2" x14ac:dyDescent="0.15">
      <c r="A164" t="s">
        <v>54</v>
      </c>
      <c r="B164" t="s">
        <v>637</v>
      </c>
    </row>
    <row r="165" spans="1:2" x14ac:dyDescent="0.15">
      <c r="A165" t="s">
        <v>55</v>
      </c>
      <c r="B165" t="s">
        <v>638</v>
      </c>
    </row>
    <row r="166" spans="1:2" x14ac:dyDescent="0.15">
      <c r="A166" t="s">
        <v>447</v>
      </c>
      <c r="B166" t="s">
        <v>639</v>
      </c>
    </row>
    <row r="167" spans="1:2" x14ac:dyDescent="0.15">
      <c r="A167" t="s">
        <v>448</v>
      </c>
      <c r="B167" t="s">
        <v>640</v>
      </c>
    </row>
    <row r="168" spans="1:2" x14ac:dyDescent="0.15">
      <c r="A168" t="s">
        <v>56</v>
      </c>
      <c r="B168" t="s">
        <v>641</v>
      </c>
    </row>
    <row r="169" spans="1:2" x14ac:dyDescent="0.15">
      <c r="A169" t="s">
        <v>57</v>
      </c>
      <c r="B169" t="s">
        <v>642</v>
      </c>
    </row>
    <row r="170" spans="1:2" x14ac:dyDescent="0.15">
      <c r="A170" t="s">
        <v>58</v>
      </c>
      <c r="B170" t="s">
        <v>643</v>
      </c>
    </row>
    <row r="171" spans="1:2" x14ac:dyDescent="0.15">
      <c r="A171" t="s">
        <v>59</v>
      </c>
      <c r="B171" t="s">
        <v>644</v>
      </c>
    </row>
    <row r="172" spans="1:2" x14ac:dyDescent="0.15">
      <c r="A172" t="s">
        <v>60</v>
      </c>
      <c r="B172" t="s">
        <v>645</v>
      </c>
    </row>
    <row r="173" spans="1:2" x14ac:dyDescent="0.15">
      <c r="A173" t="s">
        <v>61</v>
      </c>
      <c r="B173" t="s">
        <v>646</v>
      </c>
    </row>
    <row r="174" spans="1:2" x14ac:dyDescent="0.15">
      <c r="A174" t="s">
        <v>62</v>
      </c>
      <c r="B174" t="s">
        <v>647</v>
      </c>
    </row>
    <row r="175" spans="1:2" x14ac:dyDescent="0.15">
      <c r="A175" t="s">
        <v>63</v>
      </c>
      <c r="B175" t="s">
        <v>648</v>
      </c>
    </row>
    <row r="176" spans="1:2" x14ac:dyDescent="0.15">
      <c r="A176" t="s">
        <v>64</v>
      </c>
      <c r="B176" t="s">
        <v>649</v>
      </c>
    </row>
    <row r="177" spans="1:2" x14ac:dyDescent="0.15">
      <c r="A177" t="s">
        <v>65</v>
      </c>
      <c r="B177" t="s">
        <v>650</v>
      </c>
    </row>
    <row r="178" spans="1:2" x14ac:dyDescent="0.15">
      <c r="A178" t="s">
        <v>66</v>
      </c>
      <c r="B178" t="s">
        <v>651</v>
      </c>
    </row>
    <row r="179" spans="1:2" x14ac:dyDescent="0.15">
      <c r="A179" t="s">
        <v>67</v>
      </c>
      <c r="B179" t="s">
        <v>652</v>
      </c>
    </row>
    <row r="180" spans="1:2" x14ac:dyDescent="0.15">
      <c r="A180" t="s">
        <v>68</v>
      </c>
      <c r="B180" t="s">
        <v>653</v>
      </c>
    </row>
    <row r="181" spans="1:2" x14ac:dyDescent="0.15">
      <c r="A181" t="s">
        <v>69</v>
      </c>
      <c r="B181" t="s">
        <v>654</v>
      </c>
    </row>
    <row r="182" spans="1:2" x14ac:dyDescent="0.15">
      <c r="A182" t="s">
        <v>70</v>
      </c>
      <c r="B182" t="s">
        <v>655</v>
      </c>
    </row>
    <row r="183" spans="1:2" x14ac:dyDescent="0.15">
      <c r="A183" t="s">
        <v>449</v>
      </c>
      <c r="B183" t="s">
        <v>255</v>
      </c>
    </row>
    <row r="184" spans="1:2" x14ac:dyDescent="0.15">
      <c r="A184" t="s">
        <v>450</v>
      </c>
      <c r="B184" t="s">
        <v>256</v>
      </c>
    </row>
    <row r="185" spans="1:2" x14ac:dyDescent="0.15">
      <c r="A185" t="s">
        <v>451</v>
      </c>
      <c r="B185" t="s">
        <v>656</v>
      </c>
    </row>
    <row r="186" spans="1:2" x14ac:dyDescent="0.15">
      <c r="A186" t="s">
        <v>71</v>
      </c>
      <c r="B186" t="s">
        <v>257</v>
      </c>
    </row>
    <row r="187" spans="1:2" x14ac:dyDescent="0.15">
      <c r="A187" t="s">
        <v>72</v>
      </c>
      <c r="B187" t="s">
        <v>258</v>
      </c>
    </row>
    <row r="188" spans="1:2" x14ac:dyDescent="0.15">
      <c r="A188" t="s">
        <v>73</v>
      </c>
      <c r="B188" t="s">
        <v>259</v>
      </c>
    </row>
    <row r="189" spans="1:2" x14ac:dyDescent="0.15">
      <c r="A189" t="s">
        <v>74</v>
      </c>
      <c r="B189" t="s">
        <v>260</v>
      </c>
    </row>
    <row r="190" spans="1:2" x14ac:dyDescent="0.15">
      <c r="A190" t="s">
        <v>452</v>
      </c>
      <c r="B190" t="s">
        <v>657</v>
      </c>
    </row>
    <row r="191" spans="1:2" x14ac:dyDescent="0.15">
      <c r="A191" t="s">
        <v>75</v>
      </c>
      <c r="B191" t="s">
        <v>658</v>
      </c>
    </row>
    <row r="192" spans="1:2" x14ac:dyDescent="0.15">
      <c r="A192" t="s">
        <v>76</v>
      </c>
      <c r="B192" t="s">
        <v>261</v>
      </c>
    </row>
    <row r="193" spans="1:2" x14ac:dyDescent="0.15">
      <c r="A193" t="s">
        <v>77</v>
      </c>
      <c r="B193" t="s">
        <v>262</v>
      </c>
    </row>
    <row r="194" spans="1:2" x14ac:dyDescent="0.15">
      <c r="A194" t="s">
        <v>78</v>
      </c>
      <c r="B194" t="s">
        <v>263</v>
      </c>
    </row>
    <row r="195" spans="1:2" x14ac:dyDescent="0.15">
      <c r="A195" t="s">
        <v>79</v>
      </c>
      <c r="B195" t="s">
        <v>264</v>
      </c>
    </row>
    <row r="196" spans="1:2" x14ac:dyDescent="0.15">
      <c r="A196" t="s">
        <v>80</v>
      </c>
      <c r="B196" t="s">
        <v>265</v>
      </c>
    </row>
    <row r="197" spans="1:2" x14ac:dyDescent="0.15">
      <c r="A197" t="s">
        <v>81</v>
      </c>
      <c r="B197" t="s">
        <v>266</v>
      </c>
    </row>
    <row r="198" spans="1:2" x14ac:dyDescent="0.15">
      <c r="A198" t="s">
        <v>82</v>
      </c>
      <c r="B198" t="s">
        <v>267</v>
      </c>
    </row>
    <row r="199" spans="1:2" x14ac:dyDescent="0.15">
      <c r="A199" t="s">
        <v>83</v>
      </c>
      <c r="B199" t="s">
        <v>268</v>
      </c>
    </row>
    <row r="200" spans="1:2" x14ac:dyDescent="0.15">
      <c r="A200" t="s">
        <v>84</v>
      </c>
      <c r="B200" t="s">
        <v>269</v>
      </c>
    </row>
    <row r="201" spans="1:2" x14ac:dyDescent="0.15">
      <c r="A201" t="s">
        <v>85</v>
      </c>
      <c r="B201" t="s">
        <v>270</v>
      </c>
    </row>
    <row r="202" spans="1:2" x14ac:dyDescent="0.15">
      <c r="A202" t="s">
        <v>86</v>
      </c>
      <c r="B202" t="s">
        <v>271</v>
      </c>
    </row>
    <row r="203" spans="1:2" x14ac:dyDescent="0.15">
      <c r="A203" t="s">
        <v>87</v>
      </c>
      <c r="B203" t="s">
        <v>272</v>
      </c>
    </row>
    <row r="204" spans="1:2" x14ac:dyDescent="0.15">
      <c r="A204" t="s">
        <v>88</v>
      </c>
      <c r="B204" t="s">
        <v>273</v>
      </c>
    </row>
    <row r="205" spans="1:2" x14ac:dyDescent="0.15">
      <c r="A205" t="s">
        <v>89</v>
      </c>
      <c r="B205" t="s">
        <v>274</v>
      </c>
    </row>
    <row r="206" spans="1:2" x14ac:dyDescent="0.15">
      <c r="A206" t="s">
        <v>670</v>
      </c>
      <c r="B206" t="s">
        <v>275</v>
      </c>
    </row>
    <row r="207" spans="1:2" x14ac:dyDescent="0.15">
      <c r="A207" t="s">
        <v>453</v>
      </c>
      <c r="B207" t="s">
        <v>669</v>
      </c>
    </row>
    <row r="208" spans="1:2" x14ac:dyDescent="0.15">
      <c r="A208" t="s">
        <v>90</v>
      </c>
      <c r="B208" t="s">
        <v>276</v>
      </c>
    </row>
    <row r="209" spans="1:2" x14ac:dyDescent="0.15">
      <c r="A209" t="s">
        <v>91</v>
      </c>
      <c r="B209" t="s">
        <v>277</v>
      </c>
    </row>
    <row r="210" spans="1:2" x14ac:dyDescent="0.15">
      <c r="A210" t="s">
        <v>92</v>
      </c>
      <c r="B210" t="s">
        <v>278</v>
      </c>
    </row>
    <row r="211" spans="1:2" x14ac:dyDescent="0.15">
      <c r="A211" t="s">
        <v>93</v>
      </c>
      <c r="B211" t="s">
        <v>279</v>
      </c>
    </row>
    <row r="212" spans="1:2" x14ac:dyDescent="0.15">
      <c r="A212" t="s">
        <v>94</v>
      </c>
      <c r="B212" t="s">
        <v>280</v>
      </c>
    </row>
    <row r="213" spans="1:2" x14ac:dyDescent="0.15">
      <c r="A213" t="s">
        <v>95</v>
      </c>
      <c r="B213" t="s">
        <v>281</v>
      </c>
    </row>
    <row r="214" spans="1:2" x14ac:dyDescent="0.15">
      <c r="A214" t="s">
        <v>96</v>
      </c>
      <c r="B214" t="s">
        <v>282</v>
      </c>
    </row>
    <row r="215" spans="1:2" x14ac:dyDescent="0.15">
      <c r="A215" t="s">
        <v>97</v>
      </c>
      <c r="B215" t="s">
        <v>283</v>
      </c>
    </row>
    <row r="216" spans="1:2" x14ac:dyDescent="0.15">
      <c r="A216" t="s">
        <v>98</v>
      </c>
      <c r="B216" t="s">
        <v>284</v>
      </c>
    </row>
    <row r="217" spans="1:2" x14ac:dyDescent="0.15">
      <c r="A217" t="s">
        <v>99</v>
      </c>
      <c r="B217" t="s">
        <v>285</v>
      </c>
    </row>
    <row r="218" spans="1:2" x14ac:dyDescent="0.15">
      <c r="A218" t="s">
        <v>100</v>
      </c>
      <c r="B218" t="s">
        <v>286</v>
      </c>
    </row>
    <row r="219" spans="1:2" x14ac:dyDescent="0.15">
      <c r="A219" t="s">
        <v>101</v>
      </c>
      <c r="B219" t="s">
        <v>659</v>
      </c>
    </row>
    <row r="220" spans="1:2" x14ac:dyDescent="0.15">
      <c r="A220" t="s">
        <v>102</v>
      </c>
      <c r="B220" t="s">
        <v>660</v>
      </c>
    </row>
    <row r="221" spans="1:2" x14ac:dyDescent="0.15">
      <c r="A221" t="s">
        <v>103</v>
      </c>
      <c r="B221" t="s">
        <v>661</v>
      </c>
    </row>
    <row r="222" spans="1:2" x14ac:dyDescent="0.15">
      <c r="A222" t="s">
        <v>104</v>
      </c>
      <c r="B222" t="s">
        <v>673</v>
      </c>
    </row>
    <row r="223" spans="1:2" x14ac:dyDescent="0.15">
      <c r="A223" t="s">
        <v>105</v>
      </c>
      <c r="B223" t="s">
        <v>662</v>
      </c>
    </row>
    <row r="224" spans="1:2" x14ac:dyDescent="0.15">
      <c r="A224" t="s">
        <v>106</v>
      </c>
      <c r="B224" t="s">
        <v>663</v>
      </c>
    </row>
    <row r="225" spans="1:2" x14ac:dyDescent="0.15">
      <c r="A225" t="s">
        <v>107</v>
      </c>
      <c r="B225" t="s">
        <v>664</v>
      </c>
    </row>
    <row r="226" spans="1:2" x14ac:dyDescent="0.15">
      <c r="A226" t="s">
        <v>108</v>
      </c>
      <c r="B226" t="s">
        <v>665</v>
      </c>
    </row>
    <row r="227" spans="1:2" x14ac:dyDescent="0.15">
      <c r="A227" t="s">
        <v>109</v>
      </c>
      <c r="B227" t="s">
        <v>666</v>
      </c>
    </row>
    <row r="228" spans="1:2" x14ac:dyDescent="0.15">
      <c r="A228" t="s">
        <v>110</v>
      </c>
      <c r="B228" t="s">
        <v>667</v>
      </c>
    </row>
    <row r="229" spans="1:2" x14ac:dyDescent="0.15">
      <c r="A229" t="s">
        <v>111</v>
      </c>
      <c r="B229" t="s">
        <v>668</v>
      </c>
    </row>
    <row r="230" spans="1:2" x14ac:dyDescent="0.15">
      <c r="A230" t="s">
        <v>112</v>
      </c>
      <c r="B230" t="s">
        <v>287</v>
      </c>
    </row>
    <row r="231" spans="1:2" x14ac:dyDescent="0.15">
      <c r="A231" t="s">
        <v>113</v>
      </c>
      <c r="B231" t="s">
        <v>288</v>
      </c>
    </row>
    <row r="232" spans="1:2" x14ac:dyDescent="0.15">
      <c r="A232" t="s">
        <v>114</v>
      </c>
      <c r="B232" t="s">
        <v>289</v>
      </c>
    </row>
    <row r="233" spans="1:2" x14ac:dyDescent="0.15">
      <c r="A233" t="s">
        <v>115</v>
      </c>
      <c r="B233" t="s">
        <v>290</v>
      </c>
    </row>
    <row r="234" spans="1:2" x14ac:dyDescent="0.15">
      <c r="A234" t="s">
        <v>116</v>
      </c>
      <c r="B234" t="s">
        <v>291</v>
      </c>
    </row>
    <row r="235" spans="1:2" x14ac:dyDescent="0.15">
      <c r="A235" t="s">
        <v>117</v>
      </c>
      <c r="B235" t="s">
        <v>292</v>
      </c>
    </row>
    <row r="236" spans="1:2" x14ac:dyDescent="0.15">
      <c r="A236" t="s">
        <v>118</v>
      </c>
      <c r="B236" t="s">
        <v>293</v>
      </c>
    </row>
    <row r="237" spans="1:2" x14ac:dyDescent="0.15">
      <c r="A237" t="s">
        <v>454</v>
      </c>
      <c r="B237" t="s">
        <v>294</v>
      </c>
    </row>
    <row r="238" spans="1:2" x14ac:dyDescent="0.15">
      <c r="A238" t="s">
        <v>119</v>
      </c>
      <c r="B238" t="s">
        <v>295</v>
      </c>
    </row>
    <row r="239" spans="1:2" x14ac:dyDescent="0.15">
      <c r="A239" t="s">
        <v>120</v>
      </c>
      <c r="B239" t="s">
        <v>296</v>
      </c>
    </row>
    <row r="240" spans="1:2" x14ac:dyDescent="0.15">
      <c r="A240" t="s">
        <v>121</v>
      </c>
      <c r="B240" t="s">
        <v>297</v>
      </c>
    </row>
    <row r="241" spans="1:2" x14ac:dyDescent="0.15">
      <c r="A241" t="s">
        <v>122</v>
      </c>
      <c r="B241" t="s">
        <v>298</v>
      </c>
    </row>
    <row r="242" spans="1:2" x14ac:dyDescent="0.15">
      <c r="A242" t="s">
        <v>123</v>
      </c>
      <c r="B242" t="s">
        <v>299</v>
      </c>
    </row>
    <row r="243" spans="1:2" x14ac:dyDescent="0.15">
      <c r="A243" t="s">
        <v>124</v>
      </c>
      <c r="B243" t="s">
        <v>300</v>
      </c>
    </row>
    <row r="244" spans="1:2" x14ac:dyDescent="0.15">
      <c r="A244" t="s">
        <v>125</v>
      </c>
      <c r="B244" t="s">
        <v>301</v>
      </c>
    </row>
    <row r="245" spans="1:2" x14ac:dyDescent="0.15">
      <c r="A245" t="s">
        <v>126</v>
      </c>
      <c r="B245" t="s">
        <v>302</v>
      </c>
    </row>
    <row r="246" spans="1:2" x14ac:dyDescent="0.15">
      <c r="A246" t="s">
        <v>127</v>
      </c>
      <c r="B246" t="s">
        <v>303</v>
      </c>
    </row>
    <row r="247" spans="1:2" x14ac:dyDescent="0.15">
      <c r="A247" t="s">
        <v>128</v>
      </c>
      <c r="B247" t="s">
        <v>304</v>
      </c>
    </row>
    <row r="248" spans="1:2" x14ac:dyDescent="0.15">
      <c r="A248" t="s">
        <v>129</v>
      </c>
      <c r="B248" t="s">
        <v>305</v>
      </c>
    </row>
    <row r="249" spans="1:2" x14ac:dyDescent="0.15">
      <c r="A249" t="s">
        <v>130</v>
      </c>
      <c r="B249" t="s">
        <v>306</v>
      </c>
    </row>
    <row r="250" spans="1:2" x14ac:dyDescent="0.15">
      <c r="A250" t="s">
        <v>131</v>
      </c>
      <c r="B250" t="s">
        <v>301</v>
      </c>
    </row>
    <row r="251" spans="1:2" x14ac:dyDescent="0.15">
      <c r="A251" t="s">
        <v>132</v>
      </c>
      <c r="B251" t="s">
        <v>307</v>
      </c>
    </row>
    <row r="252" spans="1:2" x14ac:dyDescent="0.15">
      <c r="A252" t="s">
        <v>133</v>
      </c>
      <c r="B252" t="s">
        <v>308</v>
      </c>
    </row>
    <row r="253" spans="1:2" x14ac:dyDescent="0.15">
      <c r="A253" t="s">
        <v>134</v>
      </c>
      <c r="B253" t="s">
        <v>309</v>
      </c>
    </row>
    <row r="254" spans="1:2" x14ac:dyDescent="0.15">
      <c r="A254" t="s">
        <v>135</v>
      </c>
      <c r="B254" t="s">
        <v>310</v>
      </c>
    </row>
    <row r="255" spans="1:2" x14ac:dyDescent="0.15">
      <c r="A255" t="s">
        <v>136</v>
      </c>
      <c r="B255" t="s">
        <v>311</v>
      </c>
    </row>
    <row r="256" spans="1:2" x14ac:dyDescent="0.15">
      <c r="A256" t="s">
        <v>455</v>
      </c>
      <c r="B256" t="s">
        <v>312</v>
      </c>
    </row>
    <row r="257" spans="1:2" x14ac:dyDescent="0.15">
      <c r="A257" t="s">
        <v>456</v>
      </c>
      <c r="B257" t="s">
        <v>313</v>
      </c>
    </row>
    <row r="258" spans="1:2" x14ac:dyDescent="0.15">
      <c r="A258" t="s">
        <v>137</v>
      </c>
      <c r="B258" t="s">
        <v>314</v>
      </c>
    </row>
    <row r="259" spans="1:2" x14ac:dyDescent="0.15">
      <c r="A259" t="s">
        <v>138</v>
      </c>
      <c r="B259" t="s">
        <v>315</v>
      </c>
    </row>
    <row r="260" spans="1:2" x14ac:dyDescent="0.15">
      <c r="A260" t="s">
        <v>139</v>
      </c>
      <c r="B260" t="s">
        <v>316</v>
      </c>
    </row>
    <row r="261" spans="1:2" x14ac:dyDescent="0.15">
      <c r="A261" t="s">
        <v>140</v>
      </c>
      <c r="B261" t="s">
        <v>317</v>
      </c>
    </row>
    <row r="262" spans="1:2" x14ac:dyDescent="0.15">
      <c r="A262" t="s">
        <v>141</v>
      </c>
      <c r="B262" t="s">
        <v>318</v>
      </c>
    </row>
    <row r="263" spans="1:2" x14ac:dyDescent="0.15">
      <c r="A263" t="s">
        <v>142</v>
      </c>
      <c r="B263" t="s">
        <v>319</v>
      </c>
    </row>
    <row r="264" spans="1:2" x14ac:dyDescent="0.15">
      <c r="A264" t="s">
        <v>143</v>
      </c>
      <c r="B264" t="s">
        <v>320</v>
      </c>
    </row>
    <row r="265" spans="1:2" x14ac:dyDescent="0.15">
      <c r="A265" t="s">
        <v>144</v>
      </c>
      <c r="B265" t="s">
        <v>321</v>
      </c>
    </row>
    <row r="266" spans="1:2" x14ac:dyDescent="0.15">
      <c r="A266" t="s">
        <v>145</v>
      </c>
      <c r="B266" t="s">
        <v>322</v>
      </c>
    </row>
    <row r="267" spans="1:2" x14ac:dyDescent="0.15">
      <c r="A267" t="s">
        <v>146</v>
      </c>
      <c r="B267" t="s">
        <v>323</v>
      </c>
    </row>
    <row r="268" spans="1:2" x14ac:dyDescent="0.15">
      <c r="A268" t="s">
        <v>147</v>
      </c>
      <c r="B268" t="s">
        <v>324</v>
      </c>
    </row>
    <row r="269" spans="1:2" x14ac:dyDescent="0.15">
      <c r="A269" t="s">
        <v>148</v>
      </c>
      <c r="B269" t="s">
        <v>325</v>
      </c>
    </row>
    <row r="270" spans="1:2" x14ac:dyDescent="0.15">
      <c r="A270" t="s">
        <v>149</v>
      </c>
      <c r="B270" t="s">
        <v>326</v>
      </c>
    </row>
    <row r="271" spans="1:2" x14ac:dyDescent="0.15">
      <c r="A271" t="s">
        <v>150</v>
      </c>
      <c r="B271" t="s">
        <v>327</v>
      </c>
    </row>
    <row r="272" spans="1:2" x14ac:dyDescent="0.15">
      <c r="A272" t="s">
        <v>151</v>
      </c>
      <c r="B272" t="s">
        <v>328</v>
      </c>
    </row>
    <row r="273" spans="1:2" x14ac:dyDescent="0.15">
      <c r="A273" t="s">
        <v>152</v>
      </c>
      <c r="B273" t="s">
        <v>329</v>
      </c>
    </row>
    <row r="274" spans="1:2" x14ac:dyDescent="0.15">
      <c r="A274" t="s">
        <v>153</v>
      </c>
      <c r="B274" t="s">
        <v>330</v>
      </c>
    </row>
    <row r="275" spans="1:2" x14ac:dyDescent="0.15">
      <c r="A275" t="s">
        <v>457</v>
      </c>
      <c r="B275" t="s">
        <v>331</v>
      </c>
    </row>
    <row r="276" spans="1:2" x14ac:dyDescent="0.15">
      <c r="A276" t="s">
        <v>154</v>
      </c>
      <c r="B276" t="s">
        <v>332</v>
      </c>
    </row>
    <row r="277" spans="1:2" x14ac:dyDescent="0.15">
      <c r="A277" t="s">
        <v>155</v>
      </c>
      <c r="B277" t="s">
        <v>333</v>
      </c>
    </row>
    <row r="278" spans="1:2" x14ac:dyDescent="0.15">
      <c r="A278" t="s">
        <v>458</v>
      </c>
      <c r="B278" t="s">
        <v>334</v>
      </c>
    </row>
    <row r="279" spans="1:2" x14ac:dyDescent="0.15">
      <c r="A279" t="s">
        <v>156</v>
      </c>
      <c r="B279" t="s">
        <v>335</v>
      </c>
    </row>
    <row r="280" spans="1:2" x14ac:dyDescent="0.15">
      <c r="A280" t="s">
        <v>157</v>
      </c>
      <c r="B280" t="s">
        <v>336</v>
      </c>
    </row>
    <row r="281" spans="1:2" x14ac:dyDescent="0.15">
      <c r="A281" t="s">
        <v>158</v>
      </c>
      <c r="B281" t="s">
        <v>337</v>
      </c>
    </row>
    <row r="282" spans="1:2" x14ac:dyDescent="0.15">
      <c r="A282" t="s">
        <v>159</v>
      </c>
      <c r="B282" t="s">
        <v>338</v>
      </c>
    </row>
    <row r="283" spans="1:2" x14ac:dyDescent="0.15">
      <c r="A283" t="s">
        <v>160</v>
      </c>
      <c r="B283" t="s">
        <v>339</v>
      </c>
    </row>
    <row r="284" spans="1:2" x14ac:dyDescent="0.15">
      <c r="A284" t="s">
        <v>161</v>
      </c>
      <c r="B284" t="s">
        <v>340</v>
      </c>
    </row>
    <row r="285" spans="1:2" x14ac:dyDescent="0.15">
      <c r="A285" t="s">
        <v>162</v>
      </c>
      <c r="B285" t="s">
        <v>341</v>
      </c>
    </row>
    <row r="286" spans="1:2" x14ac:dyDescent="0.15">
      <c r="A286" t="s">
        <v>163</v>
      </c>
      <c r="B286" t="s">
        <v>342</v>
      </c>
    </row>
    <row r="287" spans="1:2" x14ac:dyDescent="0.15">
      <c r="A287" t="s">
        <v>164</v>
      </c>
      <c r="B287" t="s">
        <v>343</v>
      </c>
    </row>
    <row r="288" spans="1:2" x14ac:dyDescent="0.15">
      <c r="A288" t="s">
        <v>165</v>
      </c>
      <c r="B288" t="s">
        <v>344</v>
      </c>
    </row>
    <row r="289" spans="1:2" x14ac:dyDescent="0.15">
      <c r="A289" t="s">
        <v>459</v>
      </c>
      <c r="B289" t="s">
        <v>345</v>
      </c>
    </row>
    <row r="290" spans="1:2" x14ac:dyDescent="0.15">
      <c r="A290" t="s">
        <v>166</v>
      </c>
      <c r="B290" t="s">
        <v>346</v>
      </c>
    </row>
    <row r="291" spans="1:2" x14ac:dyDescent="0.15">
      <c r="A291" t="s">
        <v>167</v>
      </c>
      <c r="B291" t="s">
        <v>347</v>
      </c>
    </row>
    <row r="292" spans="1:2" x14ac:dyDescent="0.15">
      <c r="A292" t="s">
        <v>168</v>
      </c>
      <c r="B292" t="s">
        <v>348</v>
      </c>
    </row>
    <row r="293" spans="1:2" x14ac:dyDescent="0.15">
      <c r="A293" t="s">
        <v>169</v>
      </c>
      <c r="B293" t="s">
        <v>349</v>
      </c>
    </row>
    <row r="294" spans="1:2" x14ac:dyDescent="0.15">
      <c r="A294" t="s">
        <v>170</v>
      </c>
      <c r="B294" t="s">
        <v>347</v>
      </c>
    </row>
    <row r="295" spans="1:2" x14ac:dyDescent="0.15">
      <c r="A295" t="s">
        <v>171</v>
      </c>
      <c r="B295" t="s">
        <v>350</v>
      </c>
    </row>
    <row r="296" spans="1:2" x14ac:dyDescent="0.15">
      <c r="A296" t="s">
        <v>460</v>
      </c>
      <c r="B296" t="s">
        <v>351</v>
      </c>
    </row>
    <row r="297" spans="1:2" x14ac:dyDescent="0.15">
      <c r="A297" t="s">
        <v>172</v>
      </c>
      <c r="B297" t="s">
        <v>352</v>
      </c>
    </row>
    <row r="298" spans="1:2" x14ac:dyDescent="0.15">
      <c r="A298" t="s">
        <v>173</v>
      </c>
      <c r="B298" t="s">
        <v>353</v>
      </c>
    </row>
    <row r="299" spans="1:2" x14ac:dyDescent="0.15">
      <c r="A299" t="s">
        <v>174</v>
      </c>
      <c r="B299" t="s">
        <v>354</v>
      </c>
    </row>
    <row r="300" spans="1:2" x14ac:dyDescent="0.15">
      <c r="A300" t="s">
        <v>175</v>
      </c>
      <c r="B300" t="s">
        <v>355</v>
      </c>
    </row>
    <row r="301" spans="1:2" x14ac:dyDescent="0.15">
      <c r="A301" t="s">
        <v>176</v>
      </c>
      <c r="B301" t="s">
        <v>356</v>
      </c>
    </row>
    <row r="302" spans="1:2" x14ac:dyDescent="0.15">
      <c r="A302" t="s">
        <v>177</v>
      </c>
      <c r="B302" t="s">
        <v>357</v>
      </c>
    </row>
    <row r="303" spans="1:2" x14ac:dyDescent="0.15">
      <c r="A303" t="s">
        <v>178</v>
      </c>
      <c r="B303" t="s">
        <v>486</v>
      </c>
    </row>
    <row r="304" spans="1:2" x14ac:dyDescent="0.15">
      <c r="A304" t="s">
        <v>179</v>
      </c>
      <c r="B304" t="s">
        <v>358</v>
      </c>
    </row>
    <row r="305" spans="1:2" x14ac:dyDescent="0.15">
      <c r="A305" t="s">
        <v>180</v>
      </c>
      <c r="B305" t="s">
        <v>359</v>
      </c>
    </row>
    <row r="306" spans="1:2" x14ac:dyDescent="0.15">
      <c r="A306" t="s">
        <v>181</v>
      </c>
      <c r="B306" t="s">
        <v>360</v>
      </c>
    </row>
    <row r="307" spans="1:2" x14ac:dyDescent="0.15">
      <c r="A307" t="s">
        <v>182</v>
      </c>
      <c r="B307" t="s">
        <v>361</v>
      </c>
    </row>
    <row r="308" spans="1:2" x14ac:dyDescent="0.15">
      <c r="A308" t="s">
        <v>183</v>
      </c>
      <c r="B308" t="s">
        <v>362</v>
      </c>
    </row>
    <row r="309" spans="1:2" x14ac:dyDescent="0.15">
      <c r="A309" t="s">
        <v>184</v>
      </c>
      <c r="B309" t="s">
        <v>363</v>
      </c>
    </row>
    <row r="310" spans="1:2" x14ac:dyDescent="0.15">
      <c r="A310" t="s">
        <v>185</v>
      </c>
      <c r="B310" t="s">
        <v>364</v>
      </c>
    </row>
    <row r="311" spans="1:2" x14ac:dyDescent="0.15">
      <c r="A311" t="s">
        <v>461</v>
      </c>
      <c r="B311" t="s">
        <v>365</v>
      </c>
    </row>
    <row r="312" spans="1:2" x14ac:dyDescent="0.15">
      <c r="A312" t="s">
        <v>478</v>
      </c>
      <c r="B312" t="s">
        <v>481</v>
      </c>
    </row>
    <row r="313" spans="1:2" x14ac:dyDescent="0.15">
      <c r="A313" t="s">
        <v>462</v>
      </c>
      <c r="B313" t="s">
        <v>366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topLeftCell="A2" workbookViewId="0">
      <selection activeCell="F31" sqref="F31"/>
    </sheetView>
  </sheetViews>
  <sheetFormatPr defaultRowHeight="13.5" x14ac:dyDescent="0.15"/>
  <cols>
    <col min="1" max="1" width="42.625" customWidth="1"/>
    <col min="2" max="2" width="45.625" customWidth="1"/>
  </cols>
  <sheetData>
    <row r="1" spans="1:2" x14ac:dyDescent="0.15">
      <c r="A1" t="s">
        <v>675</v>
      </c>
      <c r="B1" t="s">
        <v>676</v>
      </c>
    </row>
    <row r="2" spans="1:2" x14ac:dyDescent="0.15">
      <c r="A2" t="s">
        <v>711</v>
      </c>
      <c r="B2" t="s">
        <v>191</v>
      </c>
    </row>
    <row r="3" spans="1:2" x14ac:dyDescent="0.15">
      <c r="A3" t="s">
        <v>687</v>
      </c>
      <c r="B3" t="s">
        <v>688</v>
      </c>
    </row>
    <row r="4" spans="1:2" x14ac:dyDescent="0.15">
      <c r="A4" t="s">
        <v>689</v>
      </c>
      <c r="B4" t="s">
        <v>690</v>
      </c>
    </row>
    <row r="5" spans="1:2" x14ac:dyDescent="0.15">
      <c r="A5" t="s">
        <v>691</v>
      </c>
      <c r="B5" t="s">
        <v>692</v>
      </c>
    </row>
    <row r="6" spans="1:2" x14ac:dyDescent="0.15">
      <c r="A6" t="s">
        <v>693</v>
      </c>
      <c r="B6" t="s">
        <v>694</v>
      </c>
    </row>
    <row r="7" spans="1:2" x14ac:dyDescent="0.15">
      <c r="A7" t="s">
        <v>695</v>
      </c>
      <c r="B7" t="s">
        <v>696</v>
      </c>
    </row>
    <row r="8" spans="1:2" x14ac:dyDescent="0.15">
      <c r="A8" t="s">
        <v>697</v>
      </c>
      <c r="B8" t="s">
        <v>698</v>
      </c>
    </row>
    <row r="9" spans="1:2" x14ac:dyDescent="0.15">
      <c r="A9" t="s">
        <v>699</v>
      </c>
      <c r="B9" t="s">
        <v>700</v>
      </c>
    </row>
    <row r="10" spans="1:2" x14ac:dyDescent="0.15">
      <c r="A10" t="s">
        <v>701</v>
      </c>
      <c r="B10" t="s">
        <v>702</v>
      </c>
    </row>
    <row r="11" spans="1:2" x14ac:dyDescent="0.15">
      <c r="A11" t="s">
        <v>703</v>
      </c>
      <c r="B11" t="s">
        <v>704</v>
      </c>
    </row>
    <row r="12" spans="1:2" x14ac:dyDescent="0.15">
      <c r="A12" t="s">
        <v>705</v>
      </c>
      <c r="B12" t="s">
        <v>706</v>
      </c>
    </row>
    <row r="13" spans="1:2" x14ac:dyDescent="0.15">
      <c r="A13" t="s">
        <v>685</v>
      </c>
      <c r="B13" t="s">
        <v>707</v>
      </c>
    </row>
    <row r="14" spans="1:2" x14ac:dyDescent="0.15">
      <c r="A14" t="s">
        <v>708</v>
      </c>
      <c r="B14" t="s">
        <v>709</v>
      </c>
    </row>
    <row r="15" spans="1:2" x14ac:dyDescent="0.15">
      <c r="A15" t="s">
        <v>710</v>
      </c>
      <c r="B15" t="s">
        <v>696</v>
      </c>
    </row>
    <row r="16" spans="1:2" x14ac:dyDescent="0.15">
      <c r="A16" t="s">
        <v>716</v>
      </c>
      <c r="B16" t="s">
        <v>718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I28" sqref="I28"/>
    </sheetView>
  </sheetViews>
  <sheetFormatPr defaultRowHeight="13.5" x14ac:dyDescent="0.15"/>
  <cols>
    <col min="1" max="1" width="9.875" customWidth="1"/>
  </cols>
  <sheetData>
    <row r="1" spans="1:4" ht="15" thickTop="1" thickBot="1" x14ac:dyDescent="0.2">
      <c r="A1" s="2" t="s">
        <v>0</v>
      </c>
      <c r="B1" s="3"/>
      <c r="C1" s="4"/>
      <c r="D1" s="5"/>
    </row>
    <row r="2" spans="1:4" ht="14.25" thickTop="1" x14ac:dyDescent="0.15"/>
  </sheetData>
  <mergeCells count="1">
    <mergeCell ref="B1: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 (移行先)</vt:lpstr>
      <vt:lpstr>生産</vt:lpstr>
      <vt:lpstr>設備 (移行先)</vt:lpstr>
      <vt:lpstr>設備</vt:lpstr>
      <vt:lpstr>テーブル一覧</vt:lpstr>
      <vt:lpstr>旧テーブル一覧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2015-12-11T05:19:40Z</dcterms:modified>
</cp:coreProperties>
</file>