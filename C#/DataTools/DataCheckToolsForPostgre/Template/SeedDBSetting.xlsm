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REX\DataCheckTools\DataCheckTools\Template\"/>
    </mc:Choice>
  </mc:AlternateContent>
  <bookViews>
    <workbookView xWindow="0" yWindow="0" windowWidth="15360" windowHeight="7770" activeTab="4"/>
  </bookViews>
  <sheets>
    <sheet name="生産 (移行元)" sheetId="5" r:id="rId1"/>
    <sheet name="設備 (移行元)" sheetId="6" r:id="rId2"/>
    <sheet name="全移行対象データ(移行元)" sheetId="12" r:id="rId3"/>
    <sheet name="コード変換マスタ" sheetId="13" r:id="rId4"/>
    <sheet name="移行元全変換マスタ" sheetId="14" r:id="rId5"/>
    <sheet name="テーブル一覧（移行先）" sheetId="4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5" i="14" l="1"/>
  <c r="E45" i="14"/>
  <c r="A44" i="14" l="1"/>
  <c r="E44" i="14"/>
  <c r="E19" i="14" l="1"/>
  <c r="E20" i="14"/>
  <c r="E21" i="14"/>
  <c r="E22" i="14"/>
  <c r="E23" i="14"/>
  <c r="E24" i="14"/>
  <c r="E25" i="14"/>
  <c r="E26" i="14"/>
  <c r="E27" i="14"/>
  <c r="E28" i="14"/>
  <c r="E29" i="14"/>
  <c r="E30" i="14"/>
  <c r="E31" i="14"/>
  <c r="E32" i="14"/>
  <c r="E33" i="14"/>
  <c r="E34" i="14"/>
  <c r="E35" i="14"/>
  <c r="E36" i="14"/>
  <c r="E37" i="14"/>
  <c r="E38" i="14"/>
  <c r="E39" i="14"/>
  <c r="E40" i="14"/>
  <c r="E41" i="14"/>
  <c r="E42" i="14"/>
  <c r="E43" i="14"/>
  <c r="C20" i="14" l="1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36" i="14"/>
  <c r="C37" i="14"/>
  <c r="C38" i="14"/>
  <c r="C39" i="14"/>
  <c r="C40" i="14"/>
  <c r="C41" i="14"/>
  <c r="C42" i="14"/>
  <c r="C43" i="14"/>
  <c r="C19" i="14"/>
  <c r="D121" i="4"/>
  <c r="D122" i="4"/>
  <c r="D123" i="4"/>
  <c r="D124" i="4"/>
  <c r="D125" i="4"/>
  <c r="D126" i="4"/>
  <c r="D127" i="4"/>
  <c r="D128" i="4"/>
  <c r="D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A36" i="14" l="1"/>
  <c r="A37" i="14"/>
  <c r="A38" i="14"/>
  <c r="A39" i="14"/>
  <c r="A40" i="14"/>
  <c r="A41" i="14"/>
  <c r="A42" i="14"/>
  <c r="A43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35" i="14"/>
  <c r="A8" i="14"/>
  <c r="A9" i="14"/>
  <c r="A10" i="14"/>
  <c r="A11" i="14"/>
  <c r="A12" i="14"/>
  <c r="A13" i="14"/>
  <c r="A14" i="14"/>
  <c r="A15" i="14"/>
  <c r="A16" i="14"/>
  <c r="A17" i="14"/>
  <c r="A18" i="14"/>
  <c r="C8" i="14"/>
  <c r="E8" i="14" s="1"/>
  <c r="C9" i="14"/>
  <c r="E9" i="14" s="1"/>
  <c r="C10" i="14"/>
  <c r="E10" i="14" s="1"/>
  <c r="C12" i="14"/>
  <c r="E12" i="14" s="1"/>
  <c r="C13" i="14"/>
  <c r="E13" i="14" s="1"/>
  <c r="C14" i="14"/>
  <c r="E14" i="14" s="1"/>
  <c r="C15" i="14"/>
  <c r="E15" i="14" s="1"/>
  <c r="C16" i="14"/>
  <c r="E16" i="14" s="1"/>
  <c r="C17" i="14"/>
  <c r="E17" i="14" s="1"/>
  <c r="C18" i="14"/>
  <c r="E18" i="14" s="1"/>
  <c r="E11" i="14"/>
  <c r="C7" i="14" l="1"/>
  <c r="E7" i="14" s="1"/>
  <c r="A7" i="14"/>
  <c r="C6" i="14"/>
  <c r="E6" i="14" s="1"/>
  <c r="A6" i="14"/>
  <c r="C5" i="14"/>
  <c r="E5" i="14" s="1"/>
  <c r="A5" i="14"/>
  <c r="C4" i="14"/>
  <c r="E4" i="14" s="1"/>
  <c r="A4" i="14"/>
  <c r="C3" i="14"/>
  <c r="E3" i="14" s="1"/>
  <c r="A3" i="14"/>
  <c r="C2" i="14"/>
  <c r="E2" i="14" s="1"/>
  <c r="A2" i="14"/>
  <c r="A22" i="13" l="1"/>
  <c r="A17" i="12" l="1"/>
  <c r="A18" i="12"/>
  <c r="C17" i="12"/>
  <c r="E17" i="12" s="1"/>
  <c r="C18" i="12"/>
  <c r="E18" i="12" s="1"/>
  <c r="C12" i="12"/>
  <c r="E12" i="12" s="1"/>
  <c r="A12" i="12"/>
  <c r="A12" i="5"/>
  <c r="C12" i="5"/>
  <c r="E12" i="5" s="1"/>
  <c r="A7" i="6" l="1"/>
  <c r="C7" i="6"/>
  <c r="E7" i="6" s="1"/>
  <c r="A21" i="13" l="1"/>
  <c r="A20" i="13"/>
  <c r="A19" i="13" l="1"/>
  <c r="A2" i="13" l="1"/>
  <c r="A3" i="13"/>
  <c r="A4" i="13"/>
  <c r="A5" i="13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5" i="6" l="1"/>
  <c r="C5" i="6"/>
  <c r="E5" i="6" s="1"/>
  <c r="C16" i="12" l="1"/>
  <c r="E16" i="12" s="1"/>
  <c r="A16" i="12"/>
  <c r="C15" i="12"/>
  <c r="E15" i="12" s="1"/>
  <c r="A15" i="12"/>
  <c r="C14" i="12"/>
  <c r="E14" i="12" s="1"/>
  <c r="A14" i="12"/>
  <c r="C13" i="12"/>
  <c r="E13" i="12" s="1"/>
  <c r="A13" i="12"/>
  <c r="C11" i="12" l="1"/>
  <c r="E11" i="12" s="1"/>
  <c r="A11" i="12"/>
  <c r="C10" i="12"/>
  <c r="E10" i="12" s="1"/>
  <c r="A10" i="12"/>
  <c r="C9" i="12"/>
  <c r="E9" i="12" s="1"/>
  <c r="A9" i="12"/>
  <c r="C8" i="12"/>
  <c r="E8" i="12" s="1"/>
  <c r="A8" i="12"/>
  <c r="C7" i="12"/>
  <c r="E7" i="12" s="1"/>
  <c r="A7" i="12"/>
  <c r="C6" i="12"/>
  <c r="E6" i="12" s="1"/>
  <c r="A6" i="12"/>
  <c r="C5" i="12"/>
  <c r="E5" i="12" s="1"/>
  <c r="A5" i="12"/>
  <c r="C4" i="12"/>
  <c r="E4" i="12" s="1"/>
  <c r="A4" i="12"/>
  <c r="C3" i="12"/>
  <c r="E3" i="12" s="1"/>
  <c r="A3" i="12"/>
  <c r="C2" i="12"/>
  <c r="E2" i="12" s="1"/>
  <c r="A2" i="12"/>
  <c r="C6" i="6" l="1"/>
  <c r="E6" i="6" s="1"/>
  <c r="A6" i="6"/>
  <c r="C4" i="6"/>
  <c r="E4" i="6" s="1"/>
  <c r="A4" i="6"/>
  <c r="C3" i="6"/>
  <c r="E3" i="6" s="1"/>
  <c r="A3" i="6"/>
  <c r="C2" i="6"/>
  <c r="E2" i="6" s="1"/>
  <c r="A2" i="6"/>
  <c r="A3" i="5"/>
  <c r="C3" i="5"/>
  <c r="E3" i="5" s="1"/>
  <c r="A4" i="5"/>
  <c r="C4" i="5"/>
  <c r="E4" i="5" s="1"/>
  <c r="A5" i="5"/>
  <c r="C5" i="5"/>
  <c r="E5" i="5" s="1"/>
  <c r="A6" i="5"/>
  <c r="C6" i="5"/>
  <c r="E6" i="5" s="1"/>
  <c r="A7" i="5"/>
  <c r="C7" i="5"/>
  <c r="E7" i="5" s="1"/>
  <c r="A8" i="5"/>
  <c r="C8" i="5"/>
  <c r="E8" i="5" s="1"/>
  <c r="A9" i="5"/>
  <c r="C9" i="5"/>
  <c r="E9" i="5" s="1"/>
  <c r="A10" i="5"/>
  <c r="C10" i="5"/>
  <c r="E10" i="5" s="1"/>
  <c r="A11" i="5"/>
  <c r="C11" i="5"/>
  <c r="E11" i="5" s="1"/>
  <c r="C2" i="5"/>
  <c r="E2" i="5" s="1"/>
  <c r="A2" i="5"/>
</calcChain>
</file>

<file path=xl/sharedStrings.xml><?xml version="1.0" encoding="utf-8"?>
<sst xmlns="http://schemas.openxmlformats.org/spreadsheetml/2006/main" count="653" uniqueCount="285">
  <si>
    <t>テーブル名</t>
    <rPh sb="4" eb="5">
      <t>メイ</t>
    </rPh>
    <phoneticPr fontId="1"/>
  </si>
  <si>
    <t>物理名</t>
    <rPh sb="0" eb="2">
      <t>ブツリ</t>
    </rPh>
    <rPh sb="2" eb="3">
      <t>メイ</t>
    </rPh>
    <phoneticPr fontId="1"/>
  </si>
  <si>
    <t>シート名</t>
    <rPh sb="3" eb="4">
      <t>メイ</t>
    </rPh>
    <phoneticPr fontId="1"/>
  </si>
  <si>
    <t>カテゴリ</t>
    <phoneticPr fontId="1"/>
  </si>
  <si>
    <t>No</t>
    <phoneticPr fontId="1"/>
  </si>
  <si>
    <t>生産計画</t>
  </si>
  <si>
    <t>ログ</t>
  </si>
  <si>
    <t>T_TraceabilitySchedule</t>
  </si>
  <si>
    <t>T_ProductionResult</t>
  </si>
  <si>
    <t>T_ProductionResultManufacturesInventory</t>
  </si>
  <si>
    <t>T_ProductionResultProcessInventory</t>
  </si>
  <si>
    <t>T_ErrorHandlingResult</t>
  </si>
  <si>
    <t>T_ProductionResultConstractiveInventory</t>
  </si>
  <si>
    <t>T_CheckResult</t>
  </si>
  <si>
    <t>T_MeasuredResult</t>
  </si>
  <si>
    <t>T_FacilityOperationResultInventory</t>
  </si>
  <si>
    <t>T_FacilityCheckResult</t>
  </si>
  <si>
    <t>トレーサビリティ計画</t>
  </si>
  <si>
    <t>生産実績</t>
  </si>
  <si>
    <t>生産実績製品明細</t>
  </si>
  <si>
    <t>生産実績工程明細</t>
  </si>
  <si>
    <t>異常・対応実績</t>
  </si>
  <si>
    <t>生産実績構成明細</t>
  </si>
  <si>
    <t>T_TraceabilityResult</t>
    <phoneticPr fontId="1"/>
  </si>
  <si>
    <t>トレーサビリティ実績</t>
  </si>
  <si>
    <t>設備稼働実績</t>
  </si>
  <si>
    <t>設備点検実績</t>
  </si>
  <si>
    <t>生産実績</t>
    <phoneticPr fontId="1"/>
  </si>
  <si>
    <t>稼働(設備)計画</t>
    <phoneticPr fontId="1"/>
  </si>
  <si>
    <t>T_FacilityOperationResult</t>
    <phoneticPr fontId="1"/>
  </si>
  <si>
    <t xml:space="preserve">稼働(設備)実績 </t>
  </si>
  <si>
    <t>T_FacilityCapabilityInventory</t>
  </si>
  <si>
    <t>T_FacilityCapabilityInventory</t>
    <phoneticPr fontId="1"/>
  </si>
  <si>
    <t>設備能力明細</t>
  </si>
  <si>
    <t>T_ProductionSchedule</t>
  </si>
  <si>
    <t>T_ProductionCapabilityInventory</t>
  </si>
  <si>
    <t>生産能力明細</t>
    <rPh sb="0" eb="2">
      <t>セイサン</t>
    </rPh>
    <rPh sb="2" eb="4">
      <t>ノウリョク</t>
    </rPh>
    <rPh sb="4" eb="6">
      <t>メイサイ</t>
    </rPh>
    <phoneticPr fontId="3"/>
  </si>
  <si>
    <t>測定実績</t>
    <phoneticPr fontId="1"/>
  </si>
  <si>
    <t>検査実績</t>
  </si>
  <si>
    <t>T_LatestTraceabilityResult</t>
  </si>
  <si>
    <t>最新トレーサビリティ実績</t>
  </si>
  <si>
    <t>T_TraceabilityResult</t>
  </si>
  <si>
    <t>T_FacilityOperationResult</t>
  </si>
  <si>
    <t>設備稼働実績明細</t>
    <rPh sb="6" eb="8">
      <t>メイサイ</t>
    </rPh>
    <phoneticPr fontId="3"/>
  </si>
  <si>
    <t>設備ステータス履歴</t>
  </si>
  <si>
    <t>T_ErrorHandlingResult</t>
    <phoneticPr fontId="1"/>
  </si>
  <si>
    <t>M_Location</t>
    <phoneticPr fontId="1"/>
  </si>
  <si>
    <t>拠点マスタ</t>
  </si>
  <si>
    <t>M_Category</t>
  </si>
  <si>
    <t>カテゴリマスタ</t>
  </si>
  <si>
    <t>M_Line</t>
  </si>
  <si>
    <t>ラインマスタ</t>
  </si>
  <si>
    <t>M_Process1</t>
  </si>
  <si>
    <t>工程1マスタ</t>
  </si>
  <si>
    <t>M_Process2</t>
  </si>
  <si>
    <t>工程2マスタ</t>
  </si>
  <si>
    <t>M_Process3</t>
  </si>
  <si>
    <t>工程3マスタ</t>
  </si>
  <si>
    <t>M_Item1</t>
  </si>
  <si>
    <t>品種1マスタ</t>
  </si>
  <si>
    <t>M_Item2</t>
  </si>
  <si>
    <t>品種2マスタ</t>
  </si>
  <si>
    <t>M_Item3</t>
  </si>
  <si>
    <t>品種3マスタ</t>
  </si>
  <si>
    <t>M_Facility</t>
  </si>
  <si>
    <t>設備マスタ</t>
  </si>
  <si>
    <t>M_FacilityError</t>
  </si>
  <si>
    <t>設備エラーマスタ</t>
  </si>
  <si>
    <t>M_MeasurementItem</t>
  </si>
  <si>
    <t>測定項目マスタ</t>
  </si>
  <si>
    <t>M_TraceabilityItem</t>
  </si>
  <si>
    <t>トレーサビリティ項目マスタ</t>
  </si>
  <si>
    <t>M_FacilityCheckItem</t>
  </si>
  <si>
    <t>設備点検項目マスタ</t>
  </si>
  <si>
    <t>M_FacilityCheckStandardValue</t>
  </si>
  <si>
    <t>設備点検基準値マスタ</t>
  </si>
  <si>
    <t>M_FacilityCheckCorrespondingItem</t>
  </si>
  <si>
    <t>設備点検対応項目マスタ</t>
  </si>
  <si>
    <t>M_CheckItemByItem</t>
  </si>
  <si>
    <t>品種別検査項目マスタ</t>
  </si>
  <si>
    <t>M_CheckType</t>
  </si>
  <si>
    <t>検査分類マスタ</t>
  </si>
  <si>
    <t>M_CheckItem</t>
  </si>
  <si>
    <t>検査項目マスタ</t>
  </si>
  <si>
    <t>M_CheckStandardValue</t>
  </si>
  <si>
    <t>検査基準値マスタ</t>
  </si>
  <si>
    <t>M_CheckMethod</t>
  </si>
  <si>
    <t>検査方法マスタ</t>
  </si>
  <si>
    <t>M_ErrorClassified</t>
  </si>
  <si>
    <t>異常分類マスタ</t>
  </si>
  <si>
    <t>M_ErrorContents1</t>
  </si>
  <si>
    <t>異常内容1マスタ</t>
  </si>
  <si>
    <t>M_ErrorContents2</t>
  </si>
  <si>
    <t>異常内容2マスタ</t>
  </si>
  <si>
    <t>M_ErrorContents3</t>
  </si>
  <si>
    <t>異常内容3マスタ</t>
  </si>
  <si>
    <t>M_ReasonClassified</t>
  </si>
  <si>
    <t>原因分類マスタ</t>
  </si>
  <si>
    <t>M_ReasonContents</t>
  </si>
  <si>
    <t>原因内容マスタ</t>
  </si>
  <si>
    <t>M_HandｌingClassified</t>
  </si>
  <si>
    <t>対応分類マスタ</t>
  </si>
  <si>
    <t>M_HandｌingContents1</t>
  </si>
  <si>
    <t>対応内容1マスタ</t>
  </si>
  <si>
    <t>M_HandｌingContents2</t>
  </si>
  <si>
    <t>対応内容2マスタ</t>
  </si>
  <si>
    <t>M_Rank</t>
  </si>
  <si>
    <t>ランク名マスタ</t>
  </si>
  <si>
    <t>M_ResponsibleDepartment</t>
  </si>
  <si>
    <t>責任区名マスタ</t>
  </si>
  <si>
    <t>M_Capacity</t>
  </si>
  <si>
    <t>設備能力項目マスタ</t>
  </si>
  <si>
    <t>M_Status</t>
  </si>
  <si>
    <t>ステータスマスタ</t>
  </si>
  <si>
    <t>M_Coefficients</t>
  </si>
  <si>
    <t>xbar-R係数マスタ</t>
    <phoneticPr fontId="1"/>
  </si>
  <si>
    <t>M_ConvertItemCode</t>
  </si>
  <si>
    <t>品種コード変換マスタ</t>
  </si>
  <si>
    <t>M_FacilityUser</t>
  </si>
  <si>
    <t>設備稼働実績担当マスタ</t>
  </si>
  <si>
    <t>M_ErrorUser</t>
  </si>
  <si>
    <t>異常・対応実績担当マスタ</t>
  </si>
  <si>
    <t>M_FacilityCheckUser</t>
  </si>
  <si>
    <t>設備点検実績担当マスタ</t>
  </si>
  <si>
    <t>M_TraceabilityUser</t>
  </si>
  <si>
    <t>トレーサビリティ実績担当マスタ</t>
  </si>
  <si>
    <t>M_MeasuredUser</t>
  </si>
  <si>
    <t>測定実績担当マスタ</t>
  </si>
  <si>
    <t>M_CheckUser</t>
  </si>
  <si>
    <t>検査実績担当マスタ</t>
  </si>
  <si>
    <t>M_ManagementIndicator</t>
  </si>
  <si>
    <t>管理指標マスタ</t>
    <rPh sb="0" eb="2">
      <t>カンリ</t>
    </rPh>
    <rPh sb="2" eb="4">
      <t>シヒョウ</t>
    </rPh>
    <phoneticPr fontId="3"/>
  </si>
  <si>
    <t>M_Target</t>
  </si>
  <si>
    <t>目標値マスタ</t>
    <rPh sb="0" eb="3">
      <t>モクヒョウチ</t>
    </rPh>
    <phoneticPr fontId="3"/>
  </si>
  <si>
    <t>M_ManagementIndicatorType</t>
  </si>
  <si>
    <t>管理指標区分マスタ</t>
    <rPh sb="0" eb="2">
      <t>カンリ</t>
    </rPh>
    <rPh sb="2" eb="4">
      <t>シヒョウ</t>
    </rPh>
    <rPh sb="4" eb="6">
      <t>クブン</t>
    </rPh>
    <phoneticPr fontId="3"/>
  </si>
  <si>
    <t>M_CycleTime</t>
  </si>
  <si>
    <t>サイクルタイム管理マスタ</t>
    <rPh sb="7" eb="9">
      <t>カンリ</t>
    </rPh>
    <phoneticPr fontId="3"/>
  </si>
  <si>
    <t>M_LoginUser</t>
  </si>
  <si>
    <t>ログインユーザマスタ</t>
  </si>
  <si>
    <t>M_ProductionOperationDate</t>
  </si>
  <si>
    <t>生産稼働日時</t>
    <rPh sb="0" eb="2">
      <t>セイサン</t>
    </rPh>
    <rPh sb="2" eb="4">
      <t>カドウ</t>
    </rPh>
    <rPh sb="4" eb="6">
      <t>ニチジ</t>
    </rPh>
    <phoneticPr fontId="3"/>
  </si>
  <si>
    <t>M_FacilityOperationDate</t>
  </si>
  <si>
    <t>設備稼働日時</t>
    <rPh sb="0" eb="2">
      <t>セツビ</t>
    </rPh>
    <rPh sb="2" eb="4">
      <t>カドウ</t>
    </rPh>
    <rPh sb="4" eb="6">
      <t>ニチジ</t>
    </rPh>
    <phoneticPr fontId="3"/>
  </si>
  <si>
    <t>T_ApplicationLog</t>
  </si>
  <si>
    <t>M_SystemSetting</t>
  </si>
  <si>
    <t>システム設定</t>
  </si>
  <si>
    <t>M_SystemSettingDefine</t>
  </si>
  <si>
    <t>システム設定定義</t>
  </si>
  <si>
    <t>T_PasswordHistory</t>
  </si>
  <si>
    <t>パスワード変更履歴</t>
  </si>
  <si>
    <t>T_PalletMode</t>
  </si>
  <si>
    <t>パレット状態</t>
  </si>
  <si>
    <t>IF_ProductionSchedule</t>
  </si>
  <si>
    <t>生産計画IF</t>
  </si>
  <si>
    <t>IF_TraceabilitySchedule</t>
  </si>
  <si>
    <t>トレーサビリティ計画IF</t>
  </si>
  <si>
    <t>IF_TraceabilityResultOutput</t>
  </si>
  <si>
    <t>トレーサビリティ実績出力IF</t>
    <rPh sb="8" eb="10">
      <t>ジッセキ</t>
    </rPh>
    <rPh sb="10" eb="12">
      <t>シュツリョク</t>
    </rPh>
    <phoneticPr fontId="3"/>
  </si>
  <si>
    <t>IF_ProductionResultInventoryInput</t>
  </si>
  <si>
    <t xml:space="preserve">生産実績明細入力IF </t>
  </si>
  <si>
    <t>IF_ProductionResultInventoryOutput</t>
  </si>
  <si>
    <t>生産実績明細出力IF</t>
  </si>
  <si>
    <t>Temp1</t>
  </si>
  <si>
    <t>IDレスTemporary1</t>
  </si>
  <si>
    <t>Temp2</t>
  </si>
  <si>
    <t>IDレスTemporary2</t>
  </si>
  <si>
    <t>Temp3</t>
  </si>
  <si>
    <t>IDレスTemporary3</t>
  </si>
  <si>
    <t>T_ProductionResultManufacturesInventoryID</t>
  </si>
  <si>
    <t>生産実績製品明細(IDレス)</t>
    <rPh sb="0" eb="2">
      <t>セイサン</t>
    </rPh>
    <rPh sb="2" eb="4">
      <t>ジッセキ</t>
    </rPh>
    <rPh sb="4" eb="6">
      <t>セイヒン</t>
    </rPh>
    <rPh sb="6" eb="8">
      <t>メイサイ</t>
    </rPh>
    <phoneticPr fontId="3"/>
  </si>
  <si>
    <t>T_ProductionResultConstractiveInventoryID</t>
  </si>
  <si>
    <t>生産実績構成明細(IDレス)</t>
    <rPh sb="0" eb="2">
      <t>セイサン</t>
    </rPh>
    <rPh sb="2" eb="4">
      <t>ジッセキ</t>
    </rPh>
    <rPh sb="4" eb="6">
      <t>コウセイ</t>
    </rPh>
    <rPh sb="6" eb="8">
      <t>メイサイ</t>
    </rPh>
    <phoneticPr fontId="3"/>
  </si>
  <si>
    <t>T_ProductionSchedule</t>
    <phoneticPr fontId="1"/>
  </si>
  <si>
    <t>物理名</t>
    <phoneticPr fontId="1"/>
  </si>
  <si>
    <t>シート名</t>
    <rPh sb="3" eb="4">
      <t>メイ</t>
    </rPh>
    <phoneticPr fontId="1"/>
  </si>
  <si>
    <t>TM_Product</t>
  </si>
  <si>
    <t>TM_Operate</t>
  </si>
  <si>
    <t>TM_Component</t>
  </si>
  <si>
    <t>TM_Inspection</t>
  </si>
  <si>
    <t>TM_ErrorClassified</t>
  </si>
  <si>
    <t>TM_OccurrenceBreakdown</t>
  </si>
  <si>
    <t>TM_Capability</t>
  </si>
  <si>
    <t>コード変換</t>
    <rPh sb="3" eb="5">
      <t>ヘンカン</t>
    </rPh>
    <phoneticPr fontId="1"/>
  </si>
  <si>
    <t>TM_PersonInCharge</t>
  </si>
  <si>
    <t>T_FacilityStatusHistory</t>
    <phoneticPr fontId="1"/>
  </si>
  <si>
    <t>T_FacilityStatusHistory</t>
    <phoneticPr fontId="1"/>
  </si>
  <si>
    <t>T_ProductionCapabilityInventory</t>
    <phoneticPr fontId="1"/>
  </si>
  <si>
    <t>拠点変換マスタ</t>
  </si>
  <si>
    <t>品種変換マスタ</t>
  </si>
  <si>
    <t>工程変換マスタ</t>
  </si>
  <si>
    <t>稼働(設備)変換マスタ</t>
  </si>
  <si>
    <t>測定変換マスタ</t>
  </si>
  <si>
    <t>検査変換マスタ</t>
  </si>
  <si>
    <t>トレーサビリティ・構成変換マスタ</t>
  </si>
  <si>
    <t>設備(稼働)点検変換マスタ</t>
  </si>
  <si>
    <t>異常・対応(異常分類)変換マスタ</t>
  </si>
  <si>
    <t>異常内容変換マスタ</t>
  </si>
  <si>
    <t>異常ランク変換マスタ</t>
  </si>
  <si>
    <t>原因分類・内容変換マスタ</t>
  </si>
  <si>
    <t>対応内容変換マスタ</t>
  </si>
  <si>
    <t>責任区変換マスタ</t>
  </si>
  <si>
    <t>生産パラメータ変換マスタ</t>
  </si>
  <si>
    <t>発生内訳変換マスタ</t>
  </si>
  <si>
    <t>稼働能力変換マスタ</t>
  </si>
  <si>
    <t>サイクルタイム変換マスタ</t>
  </si>
  <si>
    <t xml:space="preserve">稼動ステータス変換マスタ </t>
  </si>
  <si>
    <t>ログインユーザー変換マスタ</t>
  </si>
  <si>
    <t>担当者変換マスタ</t>
  </si>
  <si>
    <t>TM_Location</t>
  </si>
  <si>
    <t>TM_Process</t>
  </si>
  <si>
    <t>TM_Measurement</t>
  </si>
  <si>
    <t>TM_Check</t>
  </si>
  <si>
    <t>TM_ErrorContent</t>
  </si>
  <si>
    <t>TM_ReasonClassified</t>
  </si>
  <si>
    <t>TM_HandlingClassified</t>
  </si>
  <si>
    <t>TM_Responsible</t>
  </si>
  <si>
    <t>TM_ProductionParameter</t>
  </si>
  <si>
    <t>TM_CycleTime</t>
  </si>
  <si>
    <t>TM_Status</t>
  </si>
  <si>
    <t>TM_LoginUser</t>
  </si>
  <si>
    <t>TM_ErrorRank</t>
    <phoneticPr fontId="1"/>
  </si>
  <si>
    <t>TM_Migration_Check_Column</t>
  </si>
  <si>
    <t xml:space="preserve">稼動ステータス変換マスタ </t>
    <phoneticPr fontId="1"/>
  </si>
  <si>
    <t>担当者変換マスタ</t>
    <phoneticPr fontId="1"/>
  </si>
  <si>
    <t>変換マスタ</t>
    <rPh sb="0" eb="2">
      <t>ヘンカン</t>
    </rPh>
    <phoneticPr fontId="1"/>
  </si>
  <si>
    <t>移行チェック</t>
    <rPh sb="0" eb="2">
      <t>イコウ</t>
    </rPh>
    <phoneticPr fontId="1"/>
  </si>
  <si>
    <t>TS_OperateOperationBasic</t>
  </si>
  <si>
    <t>TS_OperateOperationBasicHistoryCycleTime</t>
  </si>
  <si>
    <t>TS_OperateOperationCapacity</t>
  </si>
  <si>
    <t>TS_OperateOperationCapacityItem</t>
  </si>
  <si>
    <t>TS_OperateOperationInspection</t>
  </si>
  <si>
    <t>TS_OperateOperationInspectionItem</t>
  </si>
  <si>
    <t>TS_OperateOperationPlan</t>
  </si>
  <si>
    <t>TS_OperateProductCode</t>
  </si>
  <si>
    <t>TS_ProcessgroupProcess</t>
  </si>
  <si>
    <t>TS_ProcessProductionBasic</t>
  </si>
  <si>
    <t>TS_ProcessProductionComponents</t>
  </si>
  <si>
    <t>TS_ProcessProductionInspection</t>
  </si>
  <si>
    <t>TS_ProcessProductionMeasurement</t>
  </si>
  <si>
    <t>TS_ProductionTypeProcessgroup</t>
  </si>
  <si>
    <t>TS_ProductionTypeProductionBasic</t>
  </si>
  <si>
    <t>TS_ProductionTypeProductionPlan</t>
  </si>
  <si>
    <t>TS_ProductProductionType</t>
  </si>
  <si>
    <t>TSM_OperateMaster</t>
  </si>
  <si>
    <t>TSM_ProductionBasicMasterParameter</t>
  </si>
  <si>
    <t>TSM_ProductionComponentsMasterItem</t>
  </si>
  <si>
    <t>TSM_ProductionInspectionMasterItem</t>
  </si>
  <si>
    <t>TSM_ProductionInspectionMasterItemCondition</t>
  </si>
  <si>
    <t>TSM_ProductionMeasurementMasterItem</t>
  </si>
  <si>
    <t>TSM_ProductionMeasurementMasterItemCondition</t>
    <phoneticPr fontId="1"/>
  </si>
  <si>
    <t>列1</t>
    <phoneticPr fontId="1"/>
  </si>
  <si>
    <t>TSM_ProductionBasicProcessMasterHistoryOccurrenceBreakdown</t>
    <phoneticPr fontId="1"/>
  </si>
  <si>
    <t>生産実績検査マスタ－項目－条件</t>
  </si>
  <si>
    <t>生産実績検査マスタ－項目</t>
    <phoneticPr fontId="1"/>
  </si>
  <si>
    <t>生産実績測定マスタ－項目</t>
  </si>
  <si>
    <t>生産実績測定マスタ－項目－条件</t>
  </si>
  <si>
    <t>生産実績構成マスタ－項目</t>
  </si>
  <si>
    <t>基本工程別マスタ－工程履歴－発生内訳</t>
    <phoneticPr fontId="1"/>
  </si>
  <si>
    <t>生産実績基本マスタ－生産パラメータ</t>
  </si>
  <si>
    <t>稼動マスタ</t>
  </si>
  <si>
    <t>生産種別マスタ</t>
  </si>
  <si>
    <t>【標準指示】生産種別－生産実績計画</t>
  </si>
  <si>
    <t>【標準指示】生産種別－生産実績基本</t>
  </si>
  <si>
    <t>【標準指示】生産種別－工程分類</t>
  </si>
  <si>
    <t>【標準指示】工程－生産実績測定</t>
  </si>
  <si>
    <t>【標準指示】工程－生産実績検査</t>
  </si>
  <si>
    <t>【標準指示】工程－生産実績構成</t>
  </si>
  <si>
    <t>【標準指示】稼動ステータス履歴－サイクルタイム</t>
    <phoneticPr fontId="1"/>
  </si>
  <si>
    <t>【標準指示】稼動－稼動実績基本</t>
  </si>
  <si>
    <t>【標準指示】稼動－稼動実績能力</t>
  </si>
  <si>
    <t>【標準指示】稼動－稼動実績能力－項目</t>
  </si>
  <si>
    <t>【標準指示】稼動－稼動実績点検</t>
  </si>
  <si>
    <t>【標準指示】稼動－稼動実績点検－項目</t>
  </si>
  <si>
    <t>【標準指示】稼動－稼動実績計画</t>
  </si>
  <si>
    <t>【標準指示】稼動－品種識別名</t>
  </si>
  <si>
    <t>【標準指示】工程分類－工程</t>
  </si>
  <si>
    <t>【標準指示】工程－生産実績基本</t>
  </si>
  <si>
    <t>TS_ProcessProductionInspection</t>
    <phoneticPr fontId="1"/>
  </si>
  <si>
    <t>標準指示マスタ</t>
    <rPh sb="0" eb="2">
      <t>ヒョウジュン</t>
    </rPh>
    <rPh sb="2" eb="4">
      <t>シジ</t>
    </rPh>
    <phoneticPr fontId="1"/>
  </si>
  <si>
    <t>マスタ</t>
    <phoneticPr fontId="1"/>
  </si>
  <si>
    <t>TS_Anomary</t>
  </si>
  <si>
    <t>TM_Measurement</t>
    <phoneticPr fontId="1"/>
  </si>
  <si>
    <t>TS_OperateOperationAnomarySet</t>
  </si>
  <si>
    <t>TS_OperateOperationAnomarySet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</si>
</sst>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Tahoma"/>
      <family val="2"/>
      <charset val="128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3" borderId="0" xfId="0" applyFill="1">
      <alignment vertical="center"/>
    </xf>
    <xf numFmtId="0" fontId="0" fillId="2" borderId="1" xfId="0" applyFont="1" applyFill="1" applyBorder="1">
      <alignment vertical="center"/>
    </xf>
    <xf numFmtId="0" fontId="0" fillId="0" borderId="1" xfId="0" applyFont="1" applyBorder="1">
      <alignment vertical="center"/>
    </xf>
    <xf numFmtId="0" fontId="4" fillId="4" borderId="0" xfId="0" applyFont="1" applyFill="1" applyBorder="1">
      <alignment vertical="center"/>
    </xf>
    <xf numFmtId="0" fontId="4" fillId="4" borderId="2" xfId="0" applyFont="1" applyFill="1" applyBorder="1">
      <alignment vertical="center"/>
    </xf>
    <xf numFmtId="0" fontId="0" fillId="0" borderId="1" xfId="0" applyFont="1" applyFill="1" applyBorder="1">
      <alignment vertical="center"/>
    </xf>
    <xf numFmtId="0" fontId="5" fillId="0" borderId="1" xfId="0" applyFont="1" applyFill="1" applyBorder="1">
      <alignment vertical="center"/>
    </xf>
    <xf numFmtId="0" fontId="0" fillId="0" borderId="0" xfId="0" applyNumberFormat="1">
      <alignment vertical="center"/>
    </xf>
    <xf numFmtId="0" fontId="0" fillId="0" borderId="1" xfId="0" applyNumberFormat="1" applyFill="1" applyBorder="1">
      <alignment vertical="center"/>
    </xf>
    <xf numFmtId="0" fontId="0" fillId="0" borderId="0" xfId="0" applyAlignment="1">
      <alignment vertical="center" wrapText="1"/>
    </xf>
    <xf numFmtId="0" fontId="5" fillId="2" borderId="1" xfId="0" applyFont="1" applyFill="1" applyBorder="1">
      <alignment vertical="center"/>
    </xf>
    <xf numFmtId="0" fontId="5" fillId="2" borderId="0" xfId="0" applyFont="1" applyFill="1" applyBorder="1">
      <alignment vertical="center"/>
    </xf>
    <xf numFmtId="0" fontId="6" fillId="4" borderId="0" xfId="0" applyFont="1" applyFill="1">
      <alignment vertical="center"/>
    </xf>
    <xf numFmtId="0" fontId="5" fillId="2" borderId="1" xfId="0" applyNumberFormat="1" applyFont="1" applyFill="1" applyBorder="1">
      <alignment vertical="center"/>
    </xf>
    <xf numFmtId="0" fontId="5" fillId="2" borderId="0" xfId="0" applyNumberFormat="1" applyFont="1" applyFill="1" applyBorder="1">
      <alignment vertical="center"/>
    </xf>
  </cellXfs>
  <cellStyles count="2">
    <cellStyle name="標準" xfId="0" builtinId="0"/>
    <cellStyle name="標準 2 2" xfId="1"/>
  </cellStyles>
  <dxfs count="1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3" name="SOURCE_PRODUCTION_TABLELIST" displayName="SOURCE_PRODUCTION_TABLELIST" ref="A1:E12" totalsRowShown="0">
  <autoFilter ref="A1:E12"/>
  <tableColumns count="5">
    <tableColumn id="1" name="No"/>
    <tableColumn id="2" name="カテゴリ"/>
    <tableColumn id="3" name="テーブル名" dataDxfId="18">
      <calculatedColumnFormula>IF(ISNA( VLOOKUP(D2,'テーブル一覧（移行先）'!$A$2:$B$340,2,FALSE)),"",VLOOKUP(D2,'テーブル一覧（移行先）'!$A$2:$B$340,2,FALSE))</calculatedColumnFormula>
    </tableColumn>
    <tableColumn id="4" name="物理名"/>
    <tableColumn id="5" name="シート名" dataDxfId="17">
      <calculatedColumnFormula>CONCATENATE( SOURCE_PRODUCTION_TABLELIST[[#This Row],[テーブル名]],"(移行元)")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SOURCE_OPERATION_TABLELIST" displayName="SOURCE_OPERATION_TABLELIST" ref="A1:E7" totalsRowShown="0">
  <autoFilter ref="A1:E7"/>
  <tableColumns count="5">
    <tableColumn id="1" name="No"/>
    <tableColumn id="2" name="カテゴリ"/>
    <tableColumn id="3" name="テーブル名" dataDxfId="16">
      <calculatedColumnFormula>IF(ISNA( VLOOKUP(D2,'テーブル一覧（移行先）'!$A$2:$B$340,2,FALSE)),"",VLOOKUP(D2,'テーブル一覧（移行先）'!$A$2:$B$340,2,FALSE))</calculatedColumnFormula>
    </tableColumn>
    <tableColumn id="4" name="物理名"/>
    <tableColumn id="5" name="シート名" dataDxfId="15">
      <calculatedColumnFormula>SOURCE_OPERATION_TABLELIST[[#This Row],[テーブル名]]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SOURCE_PRODUCTION_TABLELIST8" displayName="SOURCE_PRODUCTION_TABLELIST8" ref="A1:E18" totalsRowShown="0">
  <autoFilter ref="A1:E18"/>
  <tableColumns count="5">
    <tableColumn id="1" name="No"/>
    <tableColumn id="2" name="カテゴリ"/>
    <tableColumn id="3" name="テーブル名" dataDxfId="14">
      <calculatedColumnFormula>IF(ISNA( VLOOKUP(D2,'テーブル一覧（移行先）'!$A$2:$B$340,2,FALSE)),"",VLOOKUP(D2,'テーブル一覧（移行先）'!$A$2:$B$340,2,FALSE))</calculatedColumnFormula>
    </tableColumn>
    <tableColumn id="4" name="物理名"/>
    <tableColumn id="5" name="シート名" dataDxfId="13">
      <calculatedColumnFormula>CONCATENATE( SOURCE_PRODUCTION_TABLELIST8[[#This Row],[テーブル名]],"(移行元)")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SOURCE_OPERATION_TABLELIST3" displayName="SOURCE_OPERATION_TABLELIST3" ref="A1:E22" totalsRowShown="0">
  <autoFilter ref="A1:E22"/>
  <tableColumns count="5">
    <tableColumn id="1" name="No" dataDxfId="12">
      <calculatedColumnFormula>ROW()-1</calculatedColumnFormula>
    </tableColumn>
    <tableColumn id="2" name="カテゴリ"/>
    <tableColumn id="3" name="テーブル名" dataDxfId="11"/>
    <tableColumn id="4" name="物理名" dataDxfId="10"/>
    <tableColumn id="5" name="シート名" dataDxfId="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SOURCE_OPERATION_TABLELIST5" displayName="SOURCE_OPERATION_TABLELIST5" ref="A1:E45" totalsRowShown="0">
  <autoFilter ref="A1:E45"/>
  <tableColumns count="5">
    <tableColumn id="1" name="No">
      <calculatedColumnFormula>ROW()-1</calculatedColumnFormula>
    </tableColumn>
    <tableColumn id="2" name="カテゴリ"/>
    <tableColumn id="3" name="テーブル名" dataDxfId="8">
      <calculatedColumnFormula>IF(ISNA( VLOOKUP(D2,'テーブル一覧（移行先）'!$A$2:$B$340,2,FALSE)),"",VLOOKUP(D2,'テーブル一覧（移行先）'!$A$2:$B$340,2,FALSE))</calculatedColumnFormula>
    </tableColumn>
    <tableColumn id="4" name="物理名"/>
    <tableColumn id="5" name="シート名" dataDxfId="7">
      <calculatedColumnFormula>SOURCE_OPERATION_TABLELIST5[[#This Row],[テーブル名]]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" name="テーブル1" displayName="テーブル1" ref="A1:D128" totalsRowShown="0" headerRowDxfId="6" dataDxfId="5" tableBorderDxfId="4">
  <autoFilter ref="A1:D128"/>
  <tableColumns count="4">
    <tableColumn id="1" name="物理名" dataDxfId="3"/>
    <tableColumn id="2" name="テーブル名" dataDxfId="2"/>
    <tableColumn id="3" name="シート名" dataDxfId="1"/>
    <tableColumn id="4" name="列1" dataDxfId="0">
      <calculatedColumnFormula>LEN(テーブル1[[#This Row],[シート名]])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2"/>
  <sheetViews>
    <sheetView workbookViewId="0">
      <selection activeCell="E19" sqref="E19"/>
    </sheetView>
  </sheetViews>
  <sheetFormatPr defaultRowHeight="13.5" x14ac:dyDescent="0.15"/>
  <cols>
    <col min="2" max="2" width="17.5" customWidth="1"/>
    <col min="3" max="3" width="38.25" bestFit="1" customWidth="1"/>
    <col min="4" max="4" width="76.875" bestFit="1" customWidth="1"/>
    <col min="5" max="5" width="38.25" bestFit="1" customWidth="1"/>
  </cols>
  <sheetData>
    <row r="1" spans="1:5" x14ac:dyDescent="0.15">
      <c r="A1" t="s">
        <v>4</v>
      </c>
      <c r="B1" t="s">
        <v>3</v>
      </c>
      <c r="C1" t="s">
        <v>0</v>
      </c>
      <c r="D1" t="s">
        <v>1</v>
      </c>
      <c r="E1" t="s">
        <v>2</v>
      </c>
    </row>
    <row r="2" spans="1:5" x14ac:dyDescent="0.15">
      <c r="A2">
        <f>ROW()-1</f>
        <v>1</v>
      </c>
      <c r="B2" t="s">
        <v>5</v>
      </c>
      <c r="C2" t="str">
        <f>IF(ISNA( VLOOKUP(D2,'テーブル一覧（移行先）'!$A$2:$B$340,2,FALSE)),"",VLOOKUP(D2,'テーブル一覧（移行先）'!$A$2:$B$340,2,FALSE))</f>
        <v>生産計画</v>
      </c>
      <c r="D2" s="1" t="s">
        <v>173</v>
      </c>
      <c r="E2" t="str">
        <f>CONCATENATE( SOURCE_PRODUCTION_TABLELIST[[#This Row],[テーブル名]],"(移行元)")</f>
        <v>生産計画(移行元)</v>
      </c>
    </row>
    <row r="3" spans="1:5" x14ac:dyDescent="0.15">
      <c r="A3">
        <f t="shared" ref="A3:A12" si="0">ROW()-1</f>
        <v>2</v>
      </c>
      <c r="B3" t="s">
        <v>5</v>
      </c>
      <c r="C3" t="str">
        <f>IF(ISNA( VLOOKUP(D3,'テーブル一覧（移行先）'!$A$2:$B$340,2,FALSE)),"",VLOOKUP(D3,'テーブル一覧（移行先）'!$A$2:$B$340,2,FALSE))</f>
        <v>トレーサビリティ計画</v>
      </c>
      <c r="D3" s="1" t="s">
        <v>7</v>
      </c>
      <c r="E3" t="str">
        <f>CONCATENATE( SOURCE_PRODUCTION_TABLELIST[[#This Row],[テーブル名]],"(移行元)")</f>
        <v>トレーサビリティ計画(移行元)</v>
      </c>
    </row>
    <row r="4" spans="1:5" x14ac:dyDescent="0.15">
      <c r="A4" s="2">
        <f t="shared" si="0"/>
        <v>3</v>
      </c>
      <c r="B4" t="s">
        <v>27</v>
      </c>
      <c r="C4" t="str">
        <f>IF(ISNA( VLOOKUP(D4,'テーブル一覧（移行先）'!$A$2:$B$340,2,FALSE)),"",VLOOKUP(D4,'テーブル一覧（移行先）'!$A$2:$B$340,2,FALSE))</f>
        <v>生産実績</v>
      </c>
      <c r="D4" s="1" t="s">
        <v>8</v>
      </c>
      <c r="E4" t="str">
        <f>CONCATENATE( SOURCE_PRODUCTION_TABLELIST[[#This Row],[テーブル名]],"(移行元)")</f>
        <v>生産実績(移行元)</v>
      </c>
    </row>
    <row r="5" spans="1:5" x14ac:dyDescent="0.15">
      <c r="A5">
        <f t="shared" si="0"/>
        <v>4</v>
      </c>
      <c r="B5" t="s">
        <v>27</v>
      </c>
      <c r="C5" t="str">
        <f>IF(ISNA( VLOOKUP(D5,'テーブル一覧（移行先）'!$A$2:$B$340,2,FALSE)),"",VLOOKUP(D5,'テーブル一覧（移行先）'!$A$2:$B$340,2,FALSE))</f>
        <v>生産実績製品明細</v>
      </c>
      <c r="D5" s="1" t="s">
        <v>9</v>
      </c>
      <c r="E5" t="str">
        <f>CONCATENATE( SOURCE_PRODUCTION_TABLELIST[[#This Row],[テーブル名]],"(移行元)")</f>
        <v>生産実績製品明細(移行元)</v>
      </c>
    </row>
    <row r="6" spans="1:5" x14ac:dyDescent="0.15">
      <c r="A6" s="2">
        <f t="shared" si="0"/>
        <v>5</v>
      </c>
      <c r="B6" t="s">
        <v>27</v>
      </c>
      <c r="C6" t="str">
        <f>IF(ISNA( VLOOKUP(D6,'テーブル一覧（移行先）'!$A$2:$B$340,2,FALSE)),"",VLOOKUP(D6,'テーブル一覧（移行先）'!$A$2:$B$340,2,FALSE))</f>
        <v>生産実績工程明細</v>
      </c>
      <c r="D6" s="1" t="s">
        <v>10</v>
      </c>
      <c r="E6" t="str">
        <f>CONCATENATE( SOURCE_PRODUCTION_TABLELIST[[#This Row],[テーブル名]],"(移行元)")</f>
        <v>生産実績工程明細(移行元)</v>
      </c>
    </row>
    <row r="7" spans="1:5" x14ac:dyDescent="0.15">
      <c r="A7">
        <f t="shared" si="0"/>
        <v>6</v>
      </c>
      <c r="B7" t="s">
        <v>27</v>
      </c>
      <c r="C7" t="str">
        <f>IF(ISNA( VLOOKUP(D7,'テーブル一覧（移行先）'!$A$2:$B$340,2,FALSE)),"",VLOOKUP(D7,'テーブル一覧（移行先）'!$A$2:$B$340,2,FALSE))</f>
        <v>異常・対応実績</v>
      </c>
      <c r="D7" s="1" t="s">
        <v>11</v>
      </c>
      <c r="E7" t="str">
        <f>CONCATENATE( SOURCE_PRODUCTION_TABLELIST[[#This Row],[テーブル名]],"(移行元)")</f>
        <v>異常・対応実績(移行元)</v>
      </c>
    </row>
    <row r="8" spans="1:5" x14ac:dyDescent="0.15">
      <c r="A8" s="2">
        <f t="shared" si="0"/>
        <v>7</v>
      </c>
      <c r="B8" t="s">
        <v>27</v>
      </c>
      <c r="C8" t="str">
        <f>IF(ISNA( VLOOKUP(D8,'テーブル一覧（移行先）'!$A$2:$B$340,2,FALSE)),"",VLOOKUP(D8,'テーブル一覧（移行先）'!$A$2:$B$340,2,FALSE))</f>
        <v>生産実績構成明細</v>
      </c>
      <c r="D8" s="1" t="s">
        <v>12</v>
      </c>
      <c r="E8" t="str">
        <f>CONCATENATE( SOURCE_PRODUCTION_TABLELIST[[#This Row],[テーブル名]],"(移行元)")</f>
        <v>生産実績構成明細(移行元)</v>
      </c>
    </row>
    <row r="9" spans="1:5" x14ac:dyDescent="0.15">
      <c r="A9" s="2">
        <f t="shared" si="0"/>
        <v>8</v>
      </c>
      <c r="B9" t="s">
        <v>27</v>
      </c>
      <c r="C9" t="str">
        <f>IF(ISNA( VLOOKUP(D9,'テーブル一覧（移行先）'!$A$2:$B$340,2,FALSE)),"",VLOOKUP(D9,'テーブル一覧（移行先）'!$A$2:$B$340,2,FALSE))</f>
        <v>検査実績</v>
      </c>
      <c r="D9" s="1" t="s">
        <v>13</v>
      </c>
      <c r="E9" t="str">
        <f>CONCATENATE( SOURCE_PRODUCTION_TABLELIST[[#This Row],[テーブル名]],"(移行元)")</f>
        <v>検査実績(移行元)</v>
      </c>
    </row>
    <row r="10" spans="1:5" x14ac:dyDescent="0.15">
      <c r="A10">
        <f t="shared" si="0"/>
        <v>9</v>
      </c>
      <c r="B10" t="s">
        <v>27</v>
      </c>
      <c r="C10" t="str">
        <f>IF(ISNA( VLOOKUP(D10,'テーブル一覧（移行先）'!$A$2:$B$340,2,FALSE)),"",VLOOKUP(D10,'テーブル一覧（移行先）'!$A$2:$B$340,2,FALSE))</f>
        <v>測定実績</v>
      </c>
      <c r="D10" s="1" t="s">
        <v>14</v>
      </c>
      <c r="E10" t="str">
        <f>CONCATENATE( SOURCE_PRODUCTION_TABLELIST[[#This Row],[テーブル名]],"(移行元)")</f>
        <v>測定実績(移行元)</v>
      </c>
    </row>
    <row r="11" spans="1:5" x14ac:dyDescent="0.15">
      <c r="A11">
        <f t="shared" si="0"/>
        <v>10</v>
      </c>
      <c r="B11" t="s">
        <v>27</v>
      </c>
      <c r="C11" t="str">
        <f>IF(ISNA( VLOOKUP(D11,'テーブル一覧（移行先）'!$A$2:$B$340,2,FALSE)),"",VLOOKUP(D11,'テーブル一覧（移行先）'!$A$2:$B$340,2,FALSE))</f>
        <v>トレーサビリティ実績</v>
      </c>
      <c r="D11" s="1" t="s">
        <v>23</v>
      </c>
      <c r="E11" t="str">
        <f>CONCATENATE( SOURCE_PRODUCTION_TABLELIST[[#This Row],[テーブル名]],"(移行元)")</f>
        <v>トレーサビリティ実績(移行元)</v>
      </c>
    </row>
    <row r="12" spans="1:5" x14ac:dyDescent="0.15">
      <c r="A12">
        <f t="shared" si="0"/>
        <v>11</v>
      </c>
      <c r="B12" t="s">
        <v>27</v>
      </c>
      <c r="C12" s="9" t="str">
        <f>IF(ISNA( VLOOKUP(D12,'テーブル一覧（移行先）'!$A$2:$B$340,2,FALSE)),"",VLOOKUP(D12,'テーブル一覧（移行先）'!$A$2:$B$340,2,FALSE))</f>
        <v>生産能力明細</v>
      </c>
      <c r="D12" t="s">
        <v>187</v>
      </c>
      <c r="E12" t="str">
        <f>CONCATENATE( SOURCE_PRODUCTION_TABLELIST[[#This Row],[テーブル名]],"(移行元)")</f>
        <v>生産能力明細(移行元)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7"/>
  <sheetViews>
    <sheetView workbookViewId="0">
      <selection activeCell="E21" sqref="E21"/>
    </sheetView>
  </sheetViews>
  <sheetFormatPr defaultRowHeight="13.5" x14ac:dyDescent="0.15"/>
  <cols>
    <col min="2" max="2" width="17.5" customWidth="1"/>
    <col min="3" max="3" width="17.25" bestFit="1" customWidth="1"/>
    <col min="4" max="4" width="31.125" bestFit="1" customWidth="1"/>
    <col min="5" max="5" width="44.875" customWidth="1"/>
  </cols>
  <sheetData>
    <row r="1" spans="1:5" x14ac:dyDescent="0.15">
      <c r="A1" t="s">
        <v>4</v>
      </c>
      <c r="B1" t="s">
        <v>3</v>
      </c>
      <c r="C1" t="s">
        <v>0</v>
      </c>
      <c r="D1" t="s">
        <v>1</v>
      </c>
      <c r="E1" t="s">
        <v>2</v>
      </c>
    </row>
    <row r="2" spans="1:5" x14ac:dyDescent="0.15">
      <c r="A2">
        <f>ROW()-1</f>
        <v>1</v>
      </c>
      <c r="B2" t="s">
        <v>28</v>
      </c>
      <c r="C2" t="str">
        <f>IF(ISNA( VLOOKUP(D2,'テーブル一覧（移行先）'!$A$2:$B$340,2,FALSE)),"",VLOOKUP(D2,'テーブル一覧（移行先）'!$A$2:$B$340,2,FALSE))</f>
        <v>設備稼働実績</v>
      </c>
      <c r="D2" s="1" t="s">
        <v>29</v>
      </c>
      <c r="E2" t="str">
        <f>CONCATENATE( SOURCE_OPERATION_TABLELIST[[#This Row],[テーブル名]],"(移行先)")</f>
        <v>設備稼働実績(移行先)</v>
      </c>
    </row>
    <row r="3" spans="1:5" x14ac:dyDescent="0.15">
      <c r="A3">
        <f t="shared" ref="A3:A7" si="0">ROW()-1</f>
        <v>2</v>
      </c>
      <c r="B3" t="s">
        <v>28</v>
      </c>
      <c r="C3" t="str">
        <f>IF(ISNA( VLOOKUP(D3,'テーブル一覧（移行先）'!$A$2:$B$340,2,FALSE)),"",VLOOKUP(D3,'テーブル一覧（移行先）'!$A$2:$B$340,2,FALSE))</f>
        <v>設備稼働実績明細</v>
      </c>
      <c r="D3" s="1" t="s">
        <v>15</v>
      </c>
      <c r="E3" t="str">
        <f>CONCATENATE( SOURCE_OPERATION_TABLELIST[[#This Row],[テーブル名]],"(移行先)")</f>
        <v>設備稼働実績明細(移行先)</v>
      </c>
    </row>
    <row r="4" spans="1:5" x14ac:dyDescent="0.15">
      <c r="A4">
        <f t="shared" si="0"/>
        <v>3</v>
      </c>
      <c r="B4" t="s">
        <v>28</v>
      </c>
      <c r="C4" t="str">
        <f>IF(ISNA( VLOOKUP(D4,'テーブル一覧（移行先）'!$A$2:$B$340,2,FALSE)),"",VLOOKUP(D4,'テーブル一覧（移行先）'!$A$2:$B$340,2,FALSE))</f>
        <v>設備点検実績</v>
      </c>
      <c r="D4" s="1" t="s">
        <v>16</v>
      </c>
      <c r="E4" t="str">
        <f>CONCATENATE( SOURCE_OPERATION_TABLELIST[[#This Row],[テーブル名]],"(移行先)")</f>
        <v>設備点検実績(移行先)</v>
      </c>
    </row>
    <row r="5" spans="1:5" x14ac:dyDescent="0.15">
      <c r="A5">
        <f t="shared" si="0"/>
        <v>4</v>
      </c>
      <c r="B5" t="s">
        <v>28</v>
      </c>
      <c r="C5" t="str">
        <f>IF(ISNA( VLOOKUP(D5,'テーブル一覧（移行先）'!$A$2:$B$340,2,FALSE)),"",VLOOKUP(D5,'テーブル一覧（移行先）'!$A$2:$B$340,2,FALSE))</f>
        <v>異常・対応実績</v>
      </c>
      <c r="D5" s="1" t="s">
        <v>11</v>
      </c>
      <c r="E5" t="str">
        <f>CONCATENATE( SOURCE_OPERATION_TABLELIST[[#This Row],[テーブル名]],"(移行先)")</f>
        <v>異常・対応実績(移行先)</v>
      </c>
    </row>
    <row r="6" spans="1:5" x14ac:dyDescent="0.15">
      <c r="A6">
        <f t="shared" si="0"/>
        <v>5</v>
      </c>
      <c r="B6" t="s">
        <v>30</v>
      </c>
      <c r="C6" t="str">
        <f>IF(ISNA( VLOOKUP(D6,'テーブル一覧（移行先）'!$A$2:$B$340,2,FALSE)),"",VLOOKUP(D6,'テーブル一覧（移行先）'!$A$2:$B$340,2,FALSE))</f>
        <v>設備能力明細</v>
      </c>
      <c r="D6" s="1" t="s">
        <v>32</v>
      </c>
      <c r="E6" t="str">
        <f>CONCATENATE( SOURCE_OPERATION_TABLELIST[[#This Row],[テーブル名]],"(移行先)")</f>
        <v>設備能力明細(移行先)</v>
      </c>
    </row>
    <row r="7" spans="1:5" x14ac:dyDescent="0.15">
      <c r="A7">
        <f t="shared" si="0"/>
        <v>6</v>
      </c>
      <c r="B7" t="s">
        <v>30</v>
      </c>
      <c r="C7" s="9" t="str">
        <f>IF(ISNA( VLOOKUP(D7,'テーブル一覧（移行先）'!$A$2:$B$340,2,FALSE)),"",VLOOKUP(D7,'テーブル一覧（移行先）'!$A$2:$B$340,2,FALSE))</f>
        <v>設備ステータス履歴</v>
      </c>
      <c r="D7" t="s">
        <v>186</v>
      </c>
      <c r="E7" s="9" t="str">
        <f>SOURCE_OPERATION_TABLELIST[[#This Row],[テーブル名]]</f>
        <v>設備ステータス履歴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8"/>
  <sheetViews>
    <sheetView workbookViewId="0">
      <selection activeCell="E27" sqref="E27"/>
    </sheetView>
  </sheetViews>
  <sheetFormatPr defaultRowHeight="13.5" x14ac:dyDescent="0.15"/>
  <cols>
    <col min="2" max="2" width="17.5" customWidth="1"/>
    <col min="3" max="3" width="38.25" bestFit="1" customWidth="1"/>
    <col min="4" max="4" width="76.875" bestFit="1" customWidth="1"/>
    <col min="5" max="5" width="38.25" bestFit="1" customWidth="1"/>
  </cols>
  <sheetData>
    <row r="1" spans="1:5" x14ac:dyDescent="0.15">
      <c r="A1" t="s">
        <v>4</v>
      </c>
      <c r="B1" t="s">
        <v>3</v>
      </c>
      <c r="C1" t="s">
        <v>0</v>
      </c>
      <c r="D1" t="s">
        <v>1</v>
      </c>
      <c r="E1" t="s">
        <v>2</v>
      </c>
    </row>
    <row r="2" spans="1:5" x14ac:dyDescent="0.15">
      <c r="A2">
        <f t="shared" ref="A2:A18" si="0">ROW()-1</f>
        <v>1</v>
      </c>
      <c r="B2" t="s">
        <v>5</v>
      </c>
      <c r="C2" t="str">
        <f>IF(ISNA( VLOOKUP(D2,'テーブル一覧（移行先）'!$A$2:$B$340,2,FALSE)),"",VLOOKUP(D2,'テーブル一覧（移行先）'!$A$2:$B$340,2,FALSE))</f>
        <v>生産計画</v>
      </c>
      <c r="D2" s="1" t="s">
        <v>173</v>
      </c>
      <c r="E2" t="str">
        <f>CONCATENATE( SOURCE_PRODUCTION_TABLELIST8[[#This Row],[テーブル名]],"(移行元)")</f>
        <v>生産計画(移行元)</v>
      </c>
    </row>
    <row r="3" spans="1:5" x14ac:dyDescent="0.15">
      <c r="A3">
        <f t="shared" si="0"/>
        <v>2</v>
      </c>
      <c r="B3" t="s">
        <v>5</v>
      </c>
      <c r="C3" t="str">
        <f>IF(ISNA( VLOOKUP(D3,'テーブル一覧（移行先）'!$A$2:$B$340,2,FALSE)),"",VLOOKUP(D3,'テーブル一覧（移行先）'!$A$2:$B$340,2,FALSE))</f>
        <v>トレーサビリティ計画</v>
      </c>
      <c r="D3" s="1" t="s">
        <v>7</v>
      </c>
      <c r="E3" t="str">
        <f>CONCATENATE( SOURCE_PRODUCTION_TABLELIST8[[#This Row],[テーブル名]],"(移行元)")</f>
        <v>トレーサビリティ計画(移行元)</v>
      </c>
    </row>
    <row r="4" spans="1:5" x14ac:dyDescent="0.15">
      <c r="A4" s="2">
        <f t="shared" si="0"/>
        <v>3</v>
      </c>
      <c r="B4" t="s">
        <v>27</v>
      </c>
      <c r="C4" t="str">
        <f>IF(ISNA( VLOOKUP(D4,'テーブル一覧（移行先）'!$A$2:$B$340,2,FALSE)),"",VLOOKUP(D4,'テーブル一覧（移行先）'!$A$2:$B$340,2,FALSE))</f>
        <v>生産実績</v>
      </c>
      <c r="D4" s="1" t="s">
        <v>8</v>
      </c>
      <c r="E4" t="str">
        <f>CONCATENATE( SOURCE_PRODUCTION_TABLELIST8[[#This Row],[テーブル名]],"(移行元)")</f>
        <v>生産実績(移行元)</v>
      </c>
    </row>
    <row r="5" spans="1:5" x14ac:dyDescent="0.15">
      <c r="A5">
        <f t="shared" si="0"/>
        <v>4</v>
      </c>
      <c r="B5" t="s">
        <v>27</v>
      </c>
      <c r="C5" t="str">
        <f>IF(ISNA( VLOOKUP(D5,'テーブル一覧（移行先）'!$A$2:$B$340,2,FALSE)),"",VLOOKUP(D5,'テーブル一覧（移行先）'!$A$2:$B$340,2,FALSE))</f>
        <v>生産実績製品明細</v>
      </c>
      <c r="D5" s="1" t="s">
        <v>9</v>
      </c>
      <c r="E5" t="str">
        <f>CONCATENATE( SOURCE_PRODUCTION_TABLELIST8[[#This Row],[テーブル名]],"(移行元)")</f>
        <v>生産実績製品明細(移行元)</v>
      </c>
    </row>
    <row r="6" spans="1:5" x14ac:dyDescent="0.15">
      <c r="A6" s="2">
        <f t="shared" si="0"/>
        <v>5</v>
      </c>
      <c r="B6" t="s">
        <v>27</v>
      </c>
      <c r="C6" t="str">
        <f>IF(ISNA( VLOOKUP(D6,'テーブル一覧（移行先）'!$A$2:$B$340,2,FALSE)),"",VLOOKUP(D6,'テーブル一覧（移行先）'!$A$2:$B$340,2,FALSE))</f>
        <v>生産実績工程明細</v>
      </c>
      <c r="D6" s="1" t="s">
        <v>10</v>
      </c>
      <c r="E6" t="str">
        <f>CONCATENATE( SOURCE_PRODUCTION_TABLELIST8[[#This Row],[テーブル名]],"(移行元)")</f>
        <v>生産実績工程明細(移行元)</v>
      </c>
    </row>
    <row r="7" spans="1:5" x14ac:dyDescent="0.15">
      <c r="A7">
        <f t="shared" si="0"/>
        <v>6</v>
      </c>
      <c r="B7" t="s">
        <v>27</v>
      </c>
      <c r="C7" t="str">
        <f>IF(ISNA( VLOOKUP(D7,'テーブル一覧（移行先）'!$A$2:$B$340,2,FALSE)),"",VLOOKUP(D7,'テーブル一覧（移行先）'!$A$2:$B$340,2,FALSE))</f>
        <v>異常・対応実績</v>
      </c>
      <c r="D7" s="1" t="s">
        <v>11</v>
      </c>
      <c r="E7" t="str">
        <f>CONCATENATE( SOURCE_PRODUCTION_TABLELIST8[[#This Row],[テーブル名]],"(移行元)")</f>
        <v>異常・対応実績(移行元)</v>
      </c>
    </row>
    <row r="8" spans="1:5" x14ac:dyDescent="0.15">
      <c r="A8" s="2">
        <f t="shared" si="0"/>
        <v>7</v>
      </c>
      <c r="B8" t="s">
        <v>27</v>
      </c>
      <c r="C8" t="str">
        <f>IF(ISNA( VLOOKUP(D8,'テーブル一覧（移行先）'!$A$2:$B$340,2,FALSE)),"",VLOOKUP(D8,'テーブル一覧（移行先）'!$A$2:$B$340,2,FALSE))</f>
        <v>生産実績構成明細</v>
      </c>
      <c r="D8" s="1" t="s">
        <v>12</v>
      </c>
      <c r="E8" t="str">
        <f>CONCATENATE( SOURCE_PRODUCTION_TABLELIST8[[#This Row],[テーブル名]],"(移行元)")</f>
        <v>生産実績構成明細(移行元)</v>
      </c>
    </row>
    <row r="9" spans="1:5" x14ac:dyDescent="0.15">
      <c r="A9" s="2">
        <f t="shared" si="0"/>
        <v>8</v>
      </c>
      <c r="B9" t="s">
        <v>27</v>
      </c>
      <c r="C9" t="str">
        <f>IF(ISNA( VLOOKUP(D9,'テーブル一覧（移行先）'!$A$2:$B$340,2,FALSE)),"",VLOOKUP(D9,'テーブル一覧（移行先）'!$A$2:$B$340,2,FALSE))</f>
        <v>検査実績</v>
      </c>
      <c r="D9" s="1" t="s">
        <v>13</v>
      </c>
      <c r="E9" t="str">
        <f>CONCATENATE( SOURCE_PRODUCTION_TABLELIST8[[#This Row],[テーブル名]],"(移行元)")</f>
        <v>検査実績(移行元)</v>
      </c>
    </row>
    <row r="10" spans="1:5" x14ac:dyDescent="0.15">
      <c r="A10">
        <f t="shared" si="0"/>
        <v>9</v>
      </c>
      <c r="B10" t="s">
        <v>27</v>
      </c>
      <c r="C10" t="str">
        <f>IF(ISNA( VLOOKUP(D10,'テーブル一覧（移行先）'!$A$2:$B$340,2,FALSE)),"",VLOOKUP(D10,'テーブル一覧（移行先）'!$A$2:$B$340,2,FALSE))</f>
        <v>測定実績</v>
      </c>
      <c r="D10" s="1" t="s">
        <v>14</v>
      </c>
      <c r="E10" t="str">
        <f>CONCATENATE( SOURCE_PRODUCTION_TABLELIST8[[#This Row],[テーブル名]],"(移行元)")</f>
        <v>測定実績(移行元)</v>
      </c>
    </row>
    <row r="11" spans="1:5" x14ac:dyDescent="0.15">
      <c r="A11">
        <f t="shared" si="0"/>
        <v>10</v>
      </c>
      <c r="B11" t="s">
        <v>27</v>
      </c>
      <c r="C11" t="str">
        <f>IF(ISNA( VLOOKUP(D11,'テーブル一覧（移行先）'!$A$2:$B$340,2,FALSE)),"",VLOOKUP(D11,'テーブル一覧（移行先）'!$A$2:$B$340,2,FALSE))</f>
        <v>トレーサビリティ実績</v>
      </c>
      <c r="D11" s="1" t="s">
        <v>23</v>
      </c>
      <c r="E11" t="str">
        <f>CONCATENATE( SOURCE_PRODUCTION_TABLELIST8[[#This Row],[テーブル名]],"(移行元)")</f>
        <v>トレーサビリティ実績(移行元)</v>
      </c>
    </row>
    <row r="12" spans="1:5" x14ac:dyDescent="0.15">
      <c r="A12">
        <f t="shared" si="0"/>
        <v>11</v>
      </c>
      <c r="B12" t="s">
        <v>27</v>
      </c>
      <c r="C12" t="str">
        <f>IF(ISNA( VLOOKUP(D12,'テーブル一覧（移行先）'!$A$2:$B$340,2,FALSE)),"",VLOOKUP(D12,'テーブル一覧（移行先）'!$A$2:$B$340,2,FALSE))</f>
        <v>生産能力明細</v>
      </c>
      <c r="D12" t="s">
        <v>187</v>
      </c>
      <c r="E12" t="str">
        <f>CONCATENATE( SOURCE_PRODUCTION_TABLELIST8[[#This Row],[テーブル名]],"(移行元)")</f>
        <v>生産能力明細(移行元)</v>
      </c>
    </row>
    <row r="13" spans="1:5" x14ac:dyDescent="0.15">
      <c r="A13">
        <f t="shared" si="0"/>
        <v>12</v>
      </c>
      <c r="B13" t="s">
        <v>28</v>
      </c>
      <c r="C13" t="str">
        <f>IF(ISNA( VLOOKUP(D13,'テーブル一覧（移行先）'!$A$2:$B$340,2,FALSE)),"",VLOOKUP(D13,'テーブル一覧（移行先）'!$A$2:$B$340,2,FALSE))</f>
        <v>設備稼働実績</v>
      </c>
      <c r="D13" s="1" t="s">
        <v>29</v>
      </c>
      <c r="E13" t="str">
        <f>CONCATENATE( SOURCE_PRODUCTION_TABLELIST8[[#This Row],[テーブル名]],"(移行元)")</f>
        <v>設備稼働実績(移行元)</v>
      </c>
    </row>
    <row r="14" spans="1:5" x14ac:dyDescent="0.15">
      <c r="A14">
        <f t="shared" si="0"/>
        <v>13</v>
      </c>
      <c r="B14" t="s">
        <v>28</v>
      </c>
      <c r="C14" t="str">
        <f>IF(ISNA( VLOOKUP(D14,'テーブル一覧（移行先）'!$A$2:$B$340,2,FALSE)),"",VLOOKUP(D14,'テーブル一覧（移行先）'!$A$2:$B$340,2,FALSE))</f>
        <v>設備稼働実績明細</v>
      </c>
      <c r="D14" s="1" t="s">
        <v>15</v>
      </c>
      <c r="E14" t="str">
        <f>CONCATENATE( SOURCE_PRODUCTION_TABLELIST8[[#This Row],[テーブル名]],"(移行元)")</f>
        <v>設備稼働実績明細(移行元)</v>
      </c>
    </row>
    <row r="15" spans="1:5" x14ac:dyDescent="0.15">
      <c r="A15">
        <f t="shared" si="0"/>
        <v>14</v>
      </c>
      <c r="B15" t="s">
        <v>28</v>
      </c>
      <c r="C15" t="str">
        <f>IF(ISNA( VLOOKUP(D15,'テーブル一覧（移行先）'!$A$2:$B$340,2,FALSE)),"",VLOOKUP(D15,'テーブル一覧（移行先）'!$A$2:$B$340,2,FALSE))</f>
        <v>設備点検実績</v>
      </c>
      <c r="D15" s="1" t="s">
        <v>16</v>
      </c>
      <c r="E15" t="str">
        <f>CONCATENATE( SOURCE_PRODUCTION_TABLELIST8[[#This Row],[テーブル名]],"(移行元)")</f>
        <v>設備点検実績(移行元)</v>
      </c>
    </row>
    <row r="16" spans="1:5" x14ac:dyDescent="0.15">
      <c r="A16">
        <f t="shared" si="0"/>
        <v>15</v>
      </c>
      <c r="B16" t="s">
        <v>30</v>
      </c>
      <c r="C16" t="str">
        <f>IF(ISNA( VLOOKUP(D16,'テーブル一覧（移行先）'!$A$2:$B$340,2,FALSE)),"",VLOOKUP(D16,'テーブル一覧（移行先）'!$A$2:$B$340,2,FALSE))</f>
        <v>異常・対応実績</v>
      </c>
      <c r="D16" s="1" t="s">
        <v>11</v>
      </c>
      <c r="E16" t="str">
        <f>CONCATENATE( SOURCE_PRODUCTION_TABLELIST8[[#This Row],[テーブル名]],"(移行元)")</f>
        <v>異常・対応実績(移行元)</v>
      </c>
    </row>
    <row r="17" spans="1:5" x14ac:dyDescent="0.15">
      <c r="A17">
        <f t="shared" si="0"/>
        <v>16</v>
      </c>
      <c r="B17" t="s">
        <v>30</v>
      </c>
      <c r="C17" s="9" t="str">
        <f>IF(ISNA( VLOOKUP(D17,'テーブル一覧（移行先）'!$A$2:$B$340,2,FALSE)),"",VLOOKUP(D17,'テーブル一覧（移行先）'!$A$2:$B$340,2,FALSE))</f>
        <v>設備能力明細</v>
      </c>
      <c r="D17" s="1" t="s">
        <v>32</v>
      </c>
      <c r="E17" t="str">
        <f>CONCATENATE( SOURCE_PRODUCTION_TABLELIST8[[#This Row],[テーブル名]],"(移行元)")</f>
        <v>設備能力明細(移行元)</v>
      </c>
    </row>
    <row r="18" spans="1:5" x14ac:dyDescent="0.15">
      <c r="A18">
        <f t="shared" si="0"/>
        <v>17</v>
      </c>
      <c r="B18" t="s">
        <v>30</v>
      </c>
      <c r="C18" s="9" t="str">
        <f>IF(ISNA( VLOOKUP(D18,'テーブル一覧（移行先）'!$A$2:$B$340,2,FALSE)),"",VLOOKUP(D18,'テーブル一覧（移行先）'!$A$2:$B$340,2,FALSE))</f>
        <v>設備ステータス履歴</v>
      </c>
      <c r="D18" t="s">
        <v>186</v>
      </c>
      <c r="E18" t="str">
        <f>CONCATENATE( SOURCE_PRODUCTION_TABLELIST8[[#This Row],[テーブル名]],"(移行元)")</f>
        <v>設備ステータス履歴(移行元)</v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2"/>
  <sheetViews>
    <sheetView workbookViewId="0">
      <selection activeCell="E50" sqref="E50"/>
    </sheetView>
  </sheetViews>
  <sheetFormatPr defaultRowHeight="13.5" x14ac:dyDescent="0.15"/>
  <cols>
    <col min="2" max="2" width="17.5" customWidth="1"/>
    <col min="3" max="3" width="17.25" bestFit="1" customWidth="1"/>
    <col min="4" max="4" width="31.125" bestFit="1" customWidth="1"/>
    <col min="5" max="5" width="44.875" customWidth="1"/>
  </cols>
  <sheetData>
    <row r="1" spans="1:5" x14ac:dyDescent="0.15">
      <c r="A1" t="s">
        <v>4</v>
      </c>
      <c r="B1" t="s">
        <v>3</v>
      </c>
      <c r="C1" t="s">
        <v>0</v>
      </c>
      <c r="D1" t="s">
        <v>1</v>
      </c>
      <c r="E1" t="s">
        <v>2</v>
      </c>
    </row>
    <row r="2" spans="1:5" x14ac:dyDescent="0.15">
      <c r="A2">
        <f t="shared" ref="A2:A19" si="0">ROW()-1</f>
        <v>1</v>
      </c>
      <c r="B2" t="s">
        <v>183</v>
      </c>
      <c r="C2" s="7" t="s">
        <v>188</v>
      </c>
      <c r="D2" s="7" t="s">
        <v>209</v>
      </c>
      <c r="E2" s="7" t="s">
        <v>188</v>
      </c>
    </row>
    <row r="3" spans="1:5" x14ac:dyDescent="0.15">
      <c r="A3">
        <f t="shared" si="0"/>
        <v>2</v>
      </c>
      <c r="B3" t="s">
        <v>183</v>
      </c>
      <c r="C3" s="8" t="s">
        <v>189</v>
      </c>
      <c r="D3" s="8" t="s">
        <v>176</v>
      </c>
      <c r="E3" s="8" t="s">
        <v>189</v>
      </c>
    </row>
    <row r="4" spans="1:5" x14ac:dyDescent="0.15">
      <c r="A4">
        <f t="shared" si="0"/>
        <v>3</v>
      </c>
      <c r="B4" t="s">
        <v>183</v>
      </c>
      <c r="C4" s="8" t="s">
        <v>190</v>
      </c>
      <c r="D4" s="8" t="s">
        <v>210</v>
      </c>
      <c r="E4" s="8" t="s">
        <v>190</v>
      </c>
    </row>
    <row r="5" spans="1:5" x14ac:dyDescent="0.15">
      <c r="A5">
        <f t="shared" si="0"/>
        <v>4</v>
      </c>
      <c r="B5" t="s">
        <v>183</v>
      </c>
      <c r="C5" s="8" t="s">
        <v>191</v>
      </c>
      <c r="D5" s="8" t="s">
        <v>177</v>
      </c>
      <c r="E5" s="8" t="s">
        <v>191</v>
      </c>
    </row>
    <row r="6" spans="1:5" x14ac:dyDescent="0.15">
      <c r="A6">
        <f t="shared" si="0"/>
        <v>5</v>
      </c>
      <c r="B6" t="s">
        <v>183</v>
      </c>
      <c r="C6" s="8" t="s">
        <v>192</v>
      </c>
      <c r="D6" s="8" t="s">
        <v>211</v>
      </c>
      <c r="E6" s="8" t="s">
        <v>192</v>
      </c>
    </row>
    <row r="7" spans="1:5" x14ac:dyDescent="0.15">
      <c r="A7">
        <f t="shared" si="0"/>
        <v>6</v>
      </c>
      <c r="B7" t="s">
        <v>183</v>
      </c>
      <c r="C7" s="8" t="s">
        <v>193</v>
      </c>
      <c r="D7" s="8" t="s">
        <v>212</v>
      </c>
      <c r="E7" s="8" t="s">
        <v>193</v>
      </c>
    </row>
    <row r="8" spans="1:5" x14ac:dyDescent="0.15">
      <c r="A8">
        <f t="shared" si="0"/>
        <v>7</v>
      </c>
      <c r="B8" t="s">
        <v>183</v>
      </c>
      <c r="C8" s="8" t="s">
        <v>194</v>
      </c>
      <c r="D8" s="8" t="s">
        <v>178</v>
      </c>
      <c r="E8" s="8" t="s">
        <v>194</v>
      </c>
    </row>
    <row r="9" spans="1:5" x14ac:dyDescent="0.15">
      <c r="A9">
        <f t="shared" si="0"/>
        <v>8</v>
      </c>
      <c r="B9" t="s">
        <v>183</v>
      </c>
      <c r="C9" s="8" t="s">
        <v>195</v>
      </c>
      <c r="D9" s="8" t="s">
        <v>179</v>
      </c>
      <c r="E9" s="8" t="s">
        <v>195</v>
      </c>
    </row>
    <row r="10" spans="1:5" x14ac:dyDescent="0.15">
      <c r="A10">
        <f t="shared" si="0"/>
        <v>9</v>
      </c>
      <c r="B10" t="s">
        <v>183</v>
      </c>
      <c r="C10" s="8" t="s">
        <v>196</v>
      </c>
      <c r="D10" s="8" t="s">
        <v>180</v>
      </c>
      <c r="E10" s="8" t="s">
        <v>196</v>
      </c>
    </row>
    <row r="11" spans="1:5" x14ac:dyDescent="0.15">
      <c r="A11">
        <f t="shared" si="0"/>
        <v>10</v>
      </c>
      <c r="B11" t="s">
        <v>183</v>
      </c>
      <c r="C11" s="8" t="s">
        <v>197</v>
      </c>
      <c r="D11" s="8" t="s">
        <v>213</v>
      </c>
      <c r="E11" s="8" t="s">
        <v>197</v>
      </c>
    </row>
    <row r="12" spans="1:5" x14ac:dyDescent="0.15">
      <c r="A12">
        <f t="shared" si="0"/>
        <v>11</v>
      </c>
      <c r="B12" t="s">
        <v>183</v>
      </c>
      <c r="C12" s="8" t="s">
        <v>198</v>
      </c>
      <c r="D12" s="8" t="s">
        <v>221</v>
      </c>
      <c r="E12" s="8" t="s">
        <v>198</v>
      </c>
    </row>
    <row r="13" spans="1:5" x14ac:dyDescent="0.15">
      <c r="A13">
        <f t="shared" si="0"/>
        <v>12</v>
      </c>
      <c r="B13" t="s">
        <v>183</v>
      </c>
      <c r="C13" s="8" t="s">
        <v>199</v>
      </c>
      <c r="D13" s="8" t="s">
        <v>214</v>
      </c>
      <c r="E13" s="8" t="s">
        <v>199</v>
      </c>
    </row>
    <row r="14" spans="1:5" x14ac:dyDescent="0.15">
      <c r="A14">
        <f t="shared" si="0"/>
        <v>13</v>
      </c>
      <c r="B14" t="s">
        <v>183</v>
      </c>
      <c r="C14" s="8" t="s">
        <v>200</v>
      </c>
      <c r="D14" s="8" t="s">
        <v>215</v>
      </c>
      <c r="E14" s="8" t="s">
        <v>200</v>
      </c>
    </row>
    <row r="15" spans="1:5" x14ac:dyDescent="0.15">
      <c r="A15">
        <f t="shared" si="0"/>
        <v>14</v>
      </c>
      <c r="B15" t="s">
        <v>183</v>
      </c>
      <c r="C15" s="8" t="s">
        <v>201</v>
      </c>
      <c r="D15" s="8" t="s">
        <v>216</v>
      </c>
      <c r="E15" s="8" t="s">
        <v>201</v>
      </c>
    </row>
    <row r="16" spans="1:5" x14ac:dyDescent="0.15">
      <c r="A16">
        <f t="shared" si="0"/>
        <v>15</v>
      </c>
      <c r="B16" t="s">
        <v>183</v>
      </c>
      <c r="C16" s="8" t="s">
        <v>202</v>
      </c>
      <c r="D16" s="8" t="s">
        <v>217</v>
      </c>
      <c r="E16" s="8" t="s">
        <v>202</v>
      </c>
    </row>
    <row r="17" spans="1:5" x14ac:dyDescent="0.15">
      <c r="A17">
        <f t="shared" si="0"/>
        <v>16</v>
      </c>
      <c r="B17" t="s">
        <v>183</v>
      </c>
      <c r="C17" s="8" t="s">
        <v>203</v>
      </c>
      <c r="D17" s="8" t="s">
        <v>181</v>
      </c>
      <c r="E17" s="8" t="s">
        <v>203</v>
      </c>
    </row>
    <row r="18" spans="1:5" x14ac:dyDescent="0.15">
      <c r="A18">
        <f t="shared" si="0"/>
        <v>17</v>
      </c>
      <c r="B18" t="s">
        <v>183</v>
      </c>
      <c r="C18" s="8" t="s">
        <v>204</v>
      </c>
      <c r="D18" s="8" t="s">
        <v>182</v>
      </c>
      <c r="E18" s="8" t="s">
        <v>204</v>
      </c>
    </row>
    <row r="19" spans="1:5" x14ac:dyDescent="0.15">
      <c r="A19">
        <f t="shared" si="0"/>
        <v>18</v>
      </c>
      <c r="B19" t="s">
        <v>183</v>
      </c>
      <c r="C19" s="8" t="s">
        <v>205</v>
      </c>
      <c r="D19" s="8" t="s">
        <v>218</v>
      </c>
      <c r="E19" s="8" t="s">
        <v>205</v>
      </c>
    </row>
    <row r="20" spans="1:5" x14ac:dyDescent="0.15">
      <c r="A20" s="9">
        <f>ROW()-1</f>
        <v>19</v>
      </c>
      <c r="B20" t="s">
        <v>183</v>
      </c>
      <c r="C20" s="10" t="s">
        <v>206</v>
      </c>
      <c r="D20" s="8" t="s">
        <v>219</v>
      </c>
      <c r="E20" s="10" t="s">
        <v>206</v>
      </c>
    </row>
    <row r="21" spans="1:5" x14ac:dyDescent="0.15">
      <c r="A21" s="9">
        <f>ROW()-1</f>
        <v>20</v>
      </c>
      <c r="B21" t="s">
        <v>183</v>
      </c>
      <c r="C21" s="10" t="s">
        <v>207</v>
      </c>
      <c r="D21" s="8" t="s">
        <v>220</v>
      </c>
      <c r="E21" s="10" t="s">
        <v>207</v>
      </c>
    </row>
    <row r="22" spans="1:5" x14ac:dyDescent="0.15">
      <c r="A22" s="9">
        <f>ROW()-1</f>
        <v>21</v>
      </c>
      <c r="B22" t="s">
        <v>183</v>
      </c>
      <c r="C22" s="10" t="s">
        <v>208</v>
      </c>
      <c r="D22" s="8" t="s">
        <v>184</v>
      </c>
      <c r="E22" s="10" t="s">
        <v>208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45"/>
  <sheetViews>
    <sheetView tabSelected="1" workbookViewId="0">
      <selection activeCell="D44" sqref="D44"/>
    </sheetView>
  </sheetViews>
  <sheetFormatPr defaultRowHeight="13.5" x14ac:dyDescent="0.15"/>
  <cols>
    <col min="2" max="2" width="17.5" customWidth="1"/>
    <col min="3" max="3" width="39.75" bestFit="1" customWidth="1"/>
    <col min="4" max="4" width="57.125" customWidth="1"/>
    <col min="5" max="5" width="44.875" customWidth="1"/>
  </cols>
  <sheetData>
    <row r="1" spans="1:5" x14ac:dyDescent="0.15">
      <c r="A1" t="s">
        <v>4</v>
      </c>
      <c r="B1" t="s">
        <v>3</v>
      </c>
      <c r="C1" t="s">
        <v>0</v>
      </c>
      <c r="D1" t="s">
        <v>1</v>
      </c>
      <c r="E1" t="s">
        <v>2</v>
      </c>
    </row>
    <row r="2" spans="1:5" x14ac:dyDescent="0.15">
      <c r="A2">
        <f>ROW()-1</f>
        <v>1</v>
      </c>
      <c r="B2" t="s">
        <v>225</v>
      </c>
      <c r="C2" t="str">
        <f>IF(ISNA( VLOOKUP(D2,'テーブル一覧（移行先）'!$A$2:$B$340,2,FALSE)),"",VLOOKUP(D2,'テーブル一覧（移行先）'!$A$2:$B$340,2,FALSE))</f>
        <v>稼働能力変換マスタ</v>
      </c>
      <c r="D2" s="11" t="s">
        <v>182</v>
      </c>
      <c r="E2" t="str">
        <f>CONCATENATE( SOURCE_OPERATION_TABLELIST5[[#This Row],[テーブル名]],"(移行先)")</f>
        <v>稼働能力変換マスタ(移行先)</v>
      </c>
    </row>
    <row r="3" spans="1:5" x14ac:dyDescent="0.15">
      <c r="A3">
        <f t="shared" ref="A3:A7" si="0">ROW()-1</f>
        <v>2</v>
      </c>
      <c r="B3" t="s">
        <v>225</v>
      </c>
      <c r="C3" t="str">
        <f>IF(ISNA( VLOOKUP(D3,'テーブル一覧（移行先）'!$A$2:$B$340,2,FALSE)),"",VLOOKUP(D3,'テーブル一覧（移行先）'!$A$2:$B$340,2,FALSE))</f>
        <v>検査変換マスタ</v>
      </c>
      <c r="D3" s="11" t="s">
        <v>212</v>
      </c>
      <c r="E3" t="str">
        <f>CONCATENATE( SOURCE_OPERATION_TABLELIST5[[#This Row],[テーブル名]],"(移行先)")</f>
        <v>検査変換マスタ(移行先)</v>
      </c>
    </row>
    <row r="4" spans="1:5" x14ac:dyDescent="0.15">
      <c r="A4">
        <f t="shared" si="0"/>
        <v>3</v>
      </c>
      <c r="B4" t="s">
        <v>225</v>
      </c>
      <c r="C4" t="str">
        <f>IF(ISNA( VLOOKUP(D4,'テーブル一覧（移行先）'!$A$2:$B$340,2,FALSE)),"",VLOOKUP(D4,'テーブル一覧（移行先）'!$A$2:$B$340,2,FALSE))</f>
        <v>トレーサビリティ・構成変換マスタ</v>
      </c>
      <c r="D4" s="11" t="s">
        <v>178</v>
      </c>
      <c r="E4" t="str">
        <f>CONCATENATE( SOURCE_OPERATION_TABLELIST5[[#This Row],[テーブル名]],"(移行先)")</f>
        <v>トレーサビリティ・構成変換マスタ(移行先)</v>
      </c>
    </row>
    <row r="5" spans="1:5" x14ac:dyDescent="0.15">
      <c r="A5">
        <f t="shared" si="0"/>
        <v>4</v>
      </c>
      <c r="B5" t="s">
        <v>225</v>
      </c>
      <c r="C5" t="str">
        <f>IF(ISNA( VLOOKUP(D5,'テーブル一覧（移行先）'!$A$2:$B$340,2,FALSE)),"",VLOOKUP(D5,'テーブル一覧（移行先）'!$A$2:$B$340,2,FALSE))</f>
        <v>サイクルタイム変換マスタ</v>
      </c>
      <c r="D5" s="11" t="s">
        <v>218</v>
      </c>
      <c r="E5" t="str">
        <f>CONCATENATE( SOURCE_OPERATION_TABLELIST5[[#This Row],[テーブル名]],"(移行先)")</f>
        <v>サイクルタイム変換マスタ(移行先)</v>
      </c>
    </row>
    <row r="6" spans="1:5" x14ac:dyDescent="0.15">
      <c r="A6">
        <f t="shared" si="0"/>
        <v>5</v>
      </c>
      <c r="B6" t="s">
        <v>225</v>
      </c>
      <c r="C6" t="str">
        <f>IF(ISNA( VLOOKUP(D6,'テーブル一覧（移行先）'!$A$2:$B$340,2,FALSE)),"",VLOOKUP(D6,'テーブル一覧（移行先）'!$A$2:$B$340,2,FALSE))</f>
        <v>異常・対応(異常分類)変換マスタ</v>
      </c>
      <c r="D6" s="11" t="s">
        <v>180</v>
      </c>
      <c r="E6" t="str">
        <f>CONCATENATE( SOURCE_OPERATION_TABLELIST5[[#This Row],[テーブル名]],"(移行先)")</f>
        <v>異常・対応(異常分類)変換マスタ(移行先)</v>
      </c>
    </row>
    <row r="7" spans="1:5" x14ac:dyDescent="0.15">
      <c r="A7">
        <f t="shared" si="0"/>
        <v>6</v>
      </c>
      <c r="B7" t="s">
        <v>225</v>
      </c>
      <c r="C7" s="9" t="str">
        <f>IF(ISNA( VLOOKUP(D7,'テーブル一覧（移行先）'!$A$2:$B$340,2,FALSE)),"",VLOOKUP(D7,'テーブル一覧（移行先）'!$A$2:$B$340,2,FALSE))</f>
        <v>異常内容変換マスタ</v>
      </c>
      <c r="D7" s="11" t="s">
        <v>213</v>
      </c>
      <c r="E7" s="9" t="str">
        <f>SOURCE_OPERATION_TABLELIST5[[#This Row],[テーブル名]]</f>
        <v>異常内容変換マスタ</v>
      </c>
    </row>
    <row r="8" spans="1:5" x14ac:dyDescent="0.15">
      <c r="A8">
        <f t="shared" ref="A8:A18" si="1">ROW()-1</f>
        <v>7</v>
      </c>
      <c r="B8" t="s">
        <v>225</v>
      </c>
      <c r="C8" s="9" t="str">
        <f>IF(ISNA( VLOOKUP(D8,'テーブル一覧（移行先）'!$A$2:$B$340,2,FALSE)),"",VLOOKUP(D8,'テーブル一覧（移行先）'!$A$2:$B$340,2,FALSE))</f>
        <v>設備(稼働)点検変換マスタ</v>
      </c>
      <c r="D8" s="11" t="s">
        <v>179</v>
      </c>
      <c r="E8" s="9" t="str">
        <f>SOURCE_OPERATION_TABLELIST5[[#This Row],[テーブル名]]</f>
        <v>設備(稼働)点検変換マスタ</v>
      </c>
    </row>
    <row r="9" spans="1:5" x14ac:dyDescent="0.15">
      <c r="A9">
        <f t="shared" si="1"/>
        <v>8</v>
      </c>
      <c r="B9" t="s">
        <v>225</v>
      </c>
      <c r="C9" s="9" t="str">
        <f>IF(ISNA( VLOOKUP(D9,'テーブル一覧（移行先）'!$A$2:$B$340,2,FALSE)),"",VLOOKUP(D9,'テーブル一覧（移行先）'!$A$2:$B$340,2,FALSE))</f>
        <v>ログインユーザー変換マスタ</v>
      </c>
      <c r="D9" s="11" t="s">
        <v>220</v>
      </c>
      <c r="E9" s="9" t="str">
        <f>SOURCE_OPERATION_TABLELIST5[[#This Row],[テーブル名]]</f>
        <v>ログインユーザー変換マスタ</v>
      </c>
    </row>
    <row r="10" spans="1:5" x14ac:dyDescent="0.15">
      <c r="A10">
        <f t="shared" si="1"/>
        <v>9</v>
      </c>
      <c r="B10" t="s">
        <v>225</v>
      </c>
      <c r="C10" s="9" t="str">
        <f>IF(ISNA( VLOOKUP(D10,'テーブル一覧（移行先）'!$A$2:$B$340,2,FALSE)),"",VLOOKUP(D10,'テーブル一覧（移行先）'!$A$2:$B$340,2,FALSE))</f>
        <v>測定変換マスタ</v>
      </c>
      <c r="D10" s="11" t="s">
        <v>282</v>
      </c>
      <c r="E10" s="9" t="str">
        <f>SOURCE_OPERATION_TABLELIST5[[#This Row],[テーブル名]]</f>
        <v>測定変換マスタ</v>
      </c>
    </row>
    <row r="11" spans="1:5" x14ac:dyDescent="0.15">
      <c r="A11">
        <f t="shared" si="1"/>
        <v>10</v>
      </c>
      <c r="B11" t="s">
        <v>225</v>
      </c>
      <c r="C11" s="9" t="s">
        <v>226</v>
      </c>
      <c r="D11" s="11" t="s">
        <v>222</v>
      </c>
      <c r="E11" s="9" t="str">
        <f>SOURCE_OPERATION_TABLELIST5[[#This Row],[テーブル名]]</f>
        <v>移行チェック</v>
      </c>
    </row>
    <row r="12" spans="1:5" x14ac:dyDescent="0.15">
      <c r="A12">
        <f t="shared" si="1"/>
        <v>11</v>
      </c>
      <c r="B12" t="s">
        <v>225</v>
      </c>
      <c r="C12" s="9" t="str">
        <f>IF(ISNA( VLOOKUP(D12,'テーブル一覧（移行先）'!$A$2:$B$340,2,FALSE)),"",VLOOKUP(D12,'テーブル一覧（移行先）'!$A$2:$B$340,2,FALSE))</f>
        <v>発生内訳変換マスタ</v>
      </c>
      <c r="D12" s="11" t="s">
        <v>181</v>
      </c>
      <c r="E12" s="9" t="str">
        <f>SOURCE_OPERATION_TABLELIST5[[#This Row],[テーブル名]]</f>
        <v>発生内訳変換マスタ</v>
      </c>
    </row>
    <row r="13" spans="1:5" x14ac:dyDescent="0.15">
      <c r="A13">
        <f t="shared" si="1"/>
        <v>12</v>
      </c>
      <c r="B13" t="s">
        <v>225</v>
      </c>
      <c r="C13" s="9" t="str">
        <f>IF(ISNA( VLOOKUP(D13,'テーブル一覧（移行先）'!$A$2:$B$340,2,FALSE)),"",VLOOKUP(D13,'テーブル一覧（移行先）'!$A$2:$B$340,2,FALSE))</f>
        <v>稼働(設備)変換マスタ</v>
      </c>
      <c r="D13" s="11" t="s">
        <v>177</v>
      </c>
      <c r="E13" s="9" t="str">
        <f>SOURCE_OPERATION_TABLELIST5[[#This Row],[テーブル名]]</f>
        <v>稼働(設備)変換マスタ</v>
      </c>
    </row>
    <row r="14" spans="1:5" x14ac:dyDescent="0.15">
      <c r="A14">
        <f t="shared" si="1"/>
        <v>13</v>
      </c>
      <c r="B14" t="s">
        <v>225</v>
      </c>
      <c r="C14" s="9" t="str">
        <f>IF(ISNA( VLOOKUP(D14,'テーブル一覧（移行先）'!$A$2:$B$340,2,FALSE)),"",VLOOKUP(D14,'テーブル一覧（移行先）'!$A$2:$B$340,2,FALSE))</f>
        <v>担当者変換マスタ</v>
      </c>
      <c r="D14" s="11" t="s">
        <v>184</v>
      </c>
      <c r="E14" s="9" t="str">
        <f>SOURCE_OPERATION_TABLELIST5[[#This Row],[テーブル名]]</f>
        <v>担当者変換マスタ</v>
      </c>
    </row>
    <row r="15" spans="1:5" x14ac:dyDescent="0.15">
      <c r="A15">
        <f t="shared" si="1"/>
        <v>14</v>
      </c>
      <c r="B15" t="s">
        <v>225</v>
      </c>
      <c r="C15" s="9" t="str">
        <f>IF(ISNA( VLOOKUP(D15,'テーブル一覧（移行先）'!$A$2:$B$340,2,FALSE)),"",VLOOKUP(D15,'テーブル一覧（移行先）'!$A$2:$B$340,2,FALSE))</f>
        <v>工程変換マスタ</v>
      </c>
      <c r="D15" s="11" t="s">
        <v>210</v>
      </c>
      <c r="E15" s="9" t="str">
        <f>SOURCE_OPERATION_TABLELIST5[[#This Row],[テーブル名]]</f>
        <v>工程変換マスタ</v>
      </c>
    </row>
    <row r="16" spans="1:5" x14ac:dyDescent="0.15">
      <c r="A16">
        <f t="shared" si="1"/>
        <v>15</v>
      </c>
      <c r="B16" t="s">
        <v>225</v>
      </c>
      <c r="C16" s="9" t="str">
        <f>IF(ISNA( VLOOKUP(D16,'テーブル一覧（移行先）'!$A$2:$B$340,2,FALSE)),"",VLOOKUP(D16,'テーブル一覧（移行先）'!$A$2:$B$340,2,FALSE))</f>
        <v>品種変換マスタ</v>
      </c>
      <c r="D16" s="11" t="s">
        <v>176</v>
      </c>
      <c r="E16" s="9" t="str">
        <f>SOURCE_OPERATION_TABLELIST5[[#This Row],[テーブル名]]</f>
        <v>品種変換マスタ</v>
      </c>
    </row>
    <row r="17" spans="1:5" x14ac:dyDescent="0.15">
      <c r="A17">
        <f t="shared" si="1"/>
        <v>16</v>
      </c>
      <c r="B17" t="s">
        <v>225</v>
      </c>
      <c r="C17" s="9" t="str">
        <f>IF(ISNA( VLOOKUP(D17,'テーブル一覧（移行先）'!$A$2:$B$340,2,FALSE)),"",VLOOKUP(D17,'テーブル一覧（移行先）'!$A$2:$B$340,2,FALSE))</f>
        <v>生産パラメータ変換マスタ</v>
      </c>
      <c r="D17" s="11" t="s">
        <v>217</v>
      </c>
      <c r="E17" s="9" t="str">
        <f>SOURCE_OPERATION_TABLELIST5[[#This Row],[テーブル名]]</f>
        <v>生産パラメータ変換マスタ</v>
      </c>
    </row>
    <row r="18" spans="1:5" x14ac:dyDescent="0.15">
      <c r="A18">
        <f t="shared" si="1"/>
        <v>17</v>
      </c>
      <c r="B18" t="s">
        <v>225</v>
      </c>
      <c r="C18" s="9" t="str">
        <f>IF(ISNA( VLOOKUP(D18,'テーブル一覧（移行先）'!$A$2:$B$340,2,FALSE)),"",VLOOKUP(D18,'テーブル一覧（移行先）'!$A$2:$B$340,2,FALSE))</f>
        <v xml:space="preserve">稼動ステータス変換マスタ </v>
      </c>
      <c r="D18" s="11" t="s">
        <v>219</v>
      </c>
      <c r="E18" s="9" t="str">
        <f>SOURCE_OPERATION_TABLELIST5[[#This Row],[テーブル名]]</f>
        <v xml:space="preserve">稼動ステータス変換マスタ </v>
      </c>
    </row>
    <row r="19" spans="1:5" x14ac:dyDescent="0.15">
      <c r="A19">
        <f t="shared" ref="A19:A35" si="2">ROW()-1</f>
        <v>18</v>
      </c>
      <c r="B19" t="s">
        <v>279</v>
      </c>
      <c r="C19" s="9" t="str">
        <f>IF(ISNA( VLOOKUP(D19,'テーブル一覧（移行先）'!$A$2:$B$340,2,FALSE)),"",VLOOKUP(D19,'テーブル一覧（移行先）'!$A$2:$B$340,2,FALSE))</f>
        <v>【標準指示】稼動－稼動実績基本</v>
      </c>
      <c r="D19" s="11" t="s">
        <v>227</v>
      </c>
      <c r="E19" s="9" t="str">
        <f>SOURCE_OPERATION_TABLELIST5[[#This Row],[テーブル名]]</f>
        <v>【標準指示】稼動－稼動実績基本</v>
      </c>
    </row>
    <row r="20" spans="1:5" x14ac:dyDescent="0.15">
      <c r="A20">
        <f t="shared" si="2"/>
        <v>19</v>
      </c>
      <c r="B20" t="s">
        <v>279</v>
      </c>
      <c r="C20" s="9" t="str">
        <f>IF(ISNA( VLOOKUP(D20,'テーブル一覧（移行先）'!$A$2:$B$340,2,FALSE)),"",VLOOKUP(D20,'テーブル一覧（移行先）'!$A$2:$B$340,2,FALSE))</f>
        <v>【標準指示】稼動ステータス履歴－サイクルタイム</v>
      </c>
      <c r="D20" s="11" t="s">
        <v>228</v>
      </c>
      <c r="E20" s="9" t="str">
        <f>SOURCE_OPERATION_TABLELIST5[[#This Row],[テーブル名]]</f>
        <v>【標準指示】稼動ステータス履歴－サイクルタイム</v>
      </c>
    </row>
    <row r="21" spans="1:5" x14ac:dyDescent="0.15">
      <c r="A21">
        <f t="shared" si="2"/>
        <v>20</v>
      </c>
      <c r="B21" t="s">
        <v>279</v>
      </c>
      <c r="C21" s="9" t="str">
        <f>IF(ISNA( VLOOKUP(D21,'テーブル一覧（移行先）'!$A$2:$B$340,2,FALSE)),"",VLOOKUP(D21,'テーブル一覧（移行先）'!$A$2:$B$340,2,FALSE))</f>
        <v>【標準指示】稼動－稼動実績能力</v>
      </c>
      <c r="D21" s="11" t="s">
        <v>229</v>
      </c>
      <c r="E21" s="9" t="str">
        <f>SOURCE_OPERATION_TABLELIST5[[#This Row],[テーブル名]]</f>
        <v>【標準指示】稼動－稼動実績能力</v>
      </c>
    </row>
    <row r="22" spans="1:5" x14ac:dyDescent="0.15">
      <c r="A22">
        <f t="shared" si="2"/>
        <v>21</v>
      </c>
      <c r="B22" t="s">
        <v>279</v>
      </c>
      <c r="C22" s="9" t="str">
        <f>IF(ISNA( VLOOKUP(D22,'テーブル一覧（移行先）'!$A$2:$B$340,2,FALSE)),"",VLOOKUP(D22,'テーブル一覧（移行先）'!$A$2:$B$340,2,FALSE))</f>
        <v>【標準指示】稼動－稼動実績能力－項目</v>
      </c>
      <c r="D22" s="11" t="s">
        <v>230</v>
      </c>
      <c r="E22" s="9" t="str">
        <f>SOURCE_OPERATION_TABLELIST5[[#This Row],[テーブル名]]</f>
        <v>【標準指示】稼動－稼動実績能力－項目</v>
      </c>
    </row>
    <row r="23" spans="1:5" x14ac:dyDescent="0.15">
      <c r="A23">
        <f t="shared" si="2"/>
        <v>22</v>
      </c>
      <c r="B23" t="s">
        <v>279</v>
      </c>
      <c r="C23" s="9" t="str">
        <f>IF(ISNA( VLOOKUP(D23,'テーブル一覧（移行先）'!$A$2:$B$340,2,FALSE)),"",VLOOKUP(D23,'テーブル一覧（移行先）'!$A$2:$B$340,2,FALSE))</f>
        <v>【標準指示】稼動－稼動実績点検</v>
      </c>
      <c r="D23" s="11" t="s">
        <v>231</v>
      </c>
      <c r="E23" s="9" t="str">
        <f>SOURCE_OPERATION_TABLELIST5[[#This Row],[テーブル名]]</f>
        <v>【標準指示】稼動－稼動実績点検</v>
      </c>
    </row>
    <row r="24" spans="1:5" x14ac:dyDescent="0.15">
      <c r="A24">
        <f t="shared" si="2"/>
        <v>23</v>
      </c>
      <c r="B24" t="s">
        <v>279</v>
      </c>
      <c r="C24" s="9" t="str">
        <f>IF(ISNA( VLOOKUP(D24,'テーブル一覧（移行先）'!$A$2:$B$340,2,FALSE)),"",VLOOKUP(D24,'テーブル一覧（移行先）'!$A$2:$B$340,2,FALSE))</f>
        <v>【標準指示】稼動－稼動実績点検－項目</v>
      </c>
      <c r="D24" s="11" t="s">
        <v>232</v>
      </c>
      <c r="E24" s="9" t="str">
        <f>SOURCE_OPERATION_TABLELIST5[[#This Row],[テーブル名]]</f>
        <v>【標準指示】稼動－稼動実績点検－項目</v>
      </c>
    </row>
    <row r="25" spans="1:5" x14ac:dyDescent="0.15">
      <c r="A25">
        <f t="shared" si="2"/>
        <v>24</v>
      </c>
      <c r="B25" t="s">
        <v>279</v>
      </c>
      <c r="C25" s="9" t="str">
        <f>IF(ISNA( VLOOKUP(D25,'テーブル一覧（移行先）'!$A$2:$B$340,2,FALSE)),"",VLOOKUP(D25,'テーブル一覧（移行先）'!$A$2:$B$340,2,FALSE))</f>
        <v>【標準指示】稼動－稼動実績計画</v>
      </c>
      <c r="D25" s="11" t="s">
        <v>233</v>
      </c>
      <c r="E25" s="9" t="str">
        <f>SOURCE_OPERATION_TABLELIST5[[#This Row],[テーブル名]]</f>
        <v>【標準指示】稼動－稼動実績計画</v>
      </c>
    </row>
    <row r="26" spans="1:5" x14ac:dyDescent="0.15">
      <c r="A26">
        <f t="shared" si="2"/>
        <v>25</v>
      </c>
      <c r="B26" t="s">
        <v>279</v>
      </c>
      <c r="C26" s="9" t="str">
        <f>IF(ISNA( VLOOKUP(D26,'テーブル一覧（移行先）'!$A$2:$B$340,2,FALSE)),"",VLOOKUP(D26,'テーブル一覧（移行先）'!$A$2:$B$340,2,FALSE))</f>
        <v>【標準指示】稼動－品種識別名</v>
      </c>
      <c r="D26" s="11" t="s">
        <v>234</v>
      </c>
      <c r="E26" s="9" t="str">
        <f>SOURCE_OPERATION_TABLELIST5[[#This Row],[テーブル名]]</f>
        <v>【標準指示】稼動－品種識別名</v>
      </c>
    </row>
    <row r="27" spans="1:5" x14ac:dyDescent="0.15">
      <c r="A27">
        <f t="shared" si="2"/>
        <v>26</v>
      </c>
      <c r="B27" t="s">
        <v>279</v>
      </c>
      <c r="C27" s="9" t="str">
        <f>IF(ISNA( VLOOKUP(D27,'テーブル一覧（移行先）'!$A$2:$B$340,2,FALSE)),"",VLOOKUP(D27,'テーブル一覧（移行先）'!$A$2:$B$340,2,FALSE))</f>
        <v>【標準指示】工程分類－工程</v>
      </c>
      <c r="D27" s="11" t="s">
        <v>235</v>
      </c>
      <c r="E27" s="9" t="str">
        <f>SOURCE_OPERATION_TABLELIST5[[#This Row],[テーブル名]]</f>
        <v>【標準指示】工程分類－工程</v>
      </c>
    </row>
    <row r="28" spans="1:5" x14ac:dyDescent="0.15">
      <c r="A28">
        <f t="shared" si="2"/>
        <v>27</v>
      </c>
      <c r="B28" t="s">
        <v>279</v>
      </c>
      <c r="C28" s="9" t="str">
        <f>IF(ISNA( VLOOKUP(D28,'テーブル一覧（移行先）'!$A$2:$B$340,2,FALSE)),"",VLOOKUP(D28,'テーブル一覧（移行先）'!$A$2:$B$340,2,FALSE))</f>
        <v>【標準指示】工程－生産実績基本</v>
      </c>
      <c r="D28" s="11" t="s">
        <v>236</v>
      </c>
      <c r="E28" s="9" t="str">
        <f>SOURCE_OPERATION_TABLELIST5[[#This Row],[テーブル名]]</f>
        <v>【標準指示】工程－生産実績基本</v>
      </c>
    </row>
    <row r="29" spans="1:5" x14ac:dyDescent="0.15">
      <c r="A29">
        <f t="shared" si="2"/>
        <v>28</v>
      </c>
      <c r="B29" t="s">
        <v>279</v>
      </c>
      <c r="C29" s="9" t="str">
        <f>IF(ISNA( VLOOKUP(D29,'テーブル一覧（移行先）'!$A$2:$B$340,2,FALSE)),"",VLOOKUP(D29,'テーブル一覧（移行先）'!$A$2:$B$340,2,FALSE))</f>
        <v>【標準指示】工程－生産実績構成</v>
      </c>
      <c r="D29" s="11" t="s">
        <v>237</v>
      </c>
      <c r="E29" s="9" t="str">
        <f>SOURCE_OPERATION_TABLELIST5[[#This Row],[テーブル名]]</f>
        <v>【標準指示】工程－生産実績構成</v>
      </c>
    </row>
    <row r="30" spans="1:5" x14ac:dyDescent="0.15">
      <c r="A30">
        <f t="shared" si="2"/>
        <v>29</v>
      </c>
      <c r="B30" t="s">
        <v>279</v>
      </c>
      <c r="C30" s="9" t="str">
        <f>IF(ISNA( VLOOKUP(D30,'テーブル一覧（移行先）'!$A$2:$B$340,2,FALSE)),"",VLOOKUP(D30,'テーブル一覧（移行先）'!$A$2:$B$340,2,FALSE))</f>
        <v>【標準指示】工程－生産実績検査</v>
      </c>
      <c r="D30" s="11" t="s">
        <v>278</v>
      </c>
      <c r="E30" s="9" t="str">
        <f>SOURCE_OPERATION_TABLELIST5[[#This Row],[テーブル名]]</f>
        <v>【標準指示】工程－生産実績検査</v>
      </c>
    </row>
    <row r="31" spans="1:5" x14ac:dyDescent="0.15">
      <c r="A31">
        <f t="shared" si="2"/>
        <v>30</v>
      </c>
      <c r="B31" t="s">
        <v>279</v>
      </c>
      <c r="C31" s="9" t="str">
        <f>IF(ISNA( VLOOKUP(D31,'テーブル一覧（移行先）'!$A$2:$B$340,2,FALSE)),"",VLOOKUP(D31,'テーブル一覧（移行先）'!$A$2:$B$340,2,FALSE))</f>
        <v>【標準指示】工程－生産実績測定</v>
      </c>
      <c r="D31" s="11" t="s">
        <v>239</v>
      </c>
      <c r="E31" s="9" t="str">
        <f>SOURCE_OPERATION_TABLELIST5[[#This Row],[テーブル名]]</f>
        <v>【標準指示】工程－生産実績測定</v>
      </c>
    </row>
    <row r="32" spans="1:5" x14ac:dyDescent="0.15">
      <c r="A32">
        <f t="shared" si="2"/>
        <v>31</v>
      </c>
      <c r="B32" t="s">
        <v>279</v>
      </c>
      <c r="C32" s="9" t="str">
        <f>IF(ISNA( VLOOKUP(D32,'テーブル一覧（移行先）'!$A$2:$B$340,2,FALSE)),"",VLOOKUP(D32,'テーブル一覧（移行先）'!$A$2:$B$340,2,FALSE))</f>
        <v>【標準指示】生産種別－工程分類</v>
      </c>
      <c r="D32" s="11" t="s">
        <v>240</v>
      </c>
      <c r="E32" s="9" t="str">
        <f>SOURCE_OPERATION_TABLELIST5[[#This Row],[テーブル名]]</f>
        <v>【標準指示】生産種別－工程分類</v>
      </c>
    </row>
    <row r="33" spans="1:5" x14ac:dyDescent="0.15">
      <c r="A33">
        <f t="shared" si="2"/>
        <v>32</v>
      </c>
      <c r="B33" t="s">
        <v>279</v>
      </c>
      <c r="C33" s="9" t="str">
        <f>IF(ISNA( VLOOKUP(D33,'テーブル一覧（移行先）'!$A$2:$B$340,2,FALSE)),"",VLOOKUP(D33,'テーブル一覧（移行先）'!$A$2:$B$340,2,FALSE))</f>
        <v>【標準指示】生産種別－生産実績基本</v>
      </c>
      <c r="D33" s="11" t="s">
        <v>241</v>
      </c>
      <c r="E33" s="9" t="str">
        <f>SOURCE_OPERATION_TABLELIST5[[#This Row],[テーブル名]]</f>
        <v>【標準指示】生産種別－生産実績基本</v>
      </c>
    </row>
    <row r="34" spans="1:5" x14ac:dyDescent="0.15">
      <c r="A34">
        <f t="shared" si="2"/>
        <v>33</v>
      </c>
      <c r="B34" t="s">
        <v>279</v>
      </c>
      <c r="C34" s="9" t="str">
        <f>IF(ISNA( VLOOKUP(D34,'テーブル一覧（移行先）'!$A$2:$B$340,2,FALSE)),"",VLOOKUP(D34,'テーブル一覧（移行先）'!$A$2:$B$340,2,FALSE))</f>
        <v>【標準指示】生産種別－生産実績計画</v>
      </c>
      <c r="D34" s="11" t="s">
        <v>242</v>
      </c>
      <c r="E34" s="9" t="str">
        <f>SOURCE_OPERATION_TABLELIST5[[#This Row],[テーブル名]]</f>
        <v>【標準指示】生産種別－生産実績計画</v>
      </c>
    </row>
    <row r="35" spans="1:5" x14ac:dyDescent="0.15">
      <c r="A35">
        <f t="shared" si="2"/>
        <v>34</v>
      </c>
      <c r="B35" t="s">
        <v>279</v>
      </c>
      <c r="C35" s="9" t="str">
        <f>IF(ISNA( VLOOKUP(D35,'テーブル一覧（移行先）'!$A$2:$B$340,2,FALSE)),"",VLOOKUP(D35,'テーブル一覧（移行先）'!$A$2:$B$340,2,FALSE))</f>
        <v>生産種別マスタ</v>
      </c>
      <c r="D35" s="11" t="s">
        <v>243</v>
      </c>
      <c r="E35" s="9" t="str">
        <f>SOURCE_OPERATION_TABLELIST5[[#This Row],[テーブル名]]</f>
        <v>生産種別マスタ</v>
      </c>
    </row>
    <row r="36" spans="1:5" x14ac:dyDescent="0.15">
      <c r="A36">
        <f t="shared" ref="A36:A43" si="3">ROW()-1</f>
        <v>35</v>
      </c>
      <c r="B36" t="s">
        <v>280</v>
      </c>
      <c r="C36" s="9" t="str">
        <f>IF(ISNA( VLOOKUP(D36,'テーブル一覧（移行先）'!$A$2:$B$340,2,FALSE)),"",VLOOKUP(D36,'テーブル一覧（移行先）'!$A$2:$B$340,2,FALSE))</f>
        <v>稼動マスタ</v>
      </c>
      <c r="D36" s="11" t="s">
        <v>244</v>
      </c>
      <c r="E36" s="9" t="str">
        <f>SOURCE_OPERATION_TABLELIST5[[#This Row],[テーブル名]]</f>
        <v>稼動マスタ</v>
      </c>
    </row>
    <row r="37" spans="1:5" x14ac:dyDescent="0.15">
      <c r="A37">
        <f t="shared" si="3"/>
        <v>36</v>
      </c>
      <c r="B37" t="s">
        <v>280</v>
      </c>
      <c r="C37" s="9" t="str">
        <f>IF(ISNA( VLOOKUP(D37,'テーブル一覧（移行先）'!$A$2:$B$340,2,FALSE)),"",VLOOKUP(D37,'テーブル一覧（移行先）'!$A$2:$B$340,2,FALSE))</f>
        <v>生産実績基本マスタ－生産パラメータ</v>
      </c>
      <c r="D37" s="11" t="s">
        <v>245</v>
      </c>
      <c r="E37" s="9" t="str">
        <f>SOURCE_OPERATION_TABLELIST5[[#This Row],[テーブル名]]</f>
        <v>生産実績基本マスタ－生産パラメータ</v>
      </c>
    </row>
    <row r="38" spans="1:5" x14ac:dyDescent="0.15">
      <c r="A38">
        <f t="shared" si="3"/>
        <v>37</v>
      </c>
      <c r="B38" t="s">
        <v>280</v>
      </c>
      <c r="C38" s="9" t="str">
        <f>IF(ISNA( VLOOKUP(D38,'テーブル一覧（移行先）'!$A$2:$B$340,2,FALSE)),"",VLOOKUP(D38,'テーブル一覧（移行先）'!$A$2:$B$340,2,FALSE))</f>
        <v>基本工程別マスタ－工程履歴－発生内訳</v>
      </c>
      <c r="D38" s="11" t="s">
        <v>252</v>
      </c>
      <c r="E38" s="9" t="str">
        <f>SOURCE_OPERATION_TABLELIST5[[#This Row],[テーブル名]]</f>
        <v>基本工程別マスタ－工程履歴－発生内訳</v>
      </c>
    </row>
    <row r="39" spans="1:5" x14ac:dyDescent="0.15">
      <c r="A39">
        <f t="shared" si="3"/>
        <v>38</v>
      </c>
      <c r="B39" t="s">
        <v>280</v>
      </c>
      <c r="C39" s="9" t="str">
        <f>IF(ISNA( VLOOKUP(D39,'テーブル一覧（移行先）'!$A$2:$B$340,2,FALSE)),"",VLOOKUP(D39,'テーブル一覧（移行先）'!$A$2:$B$340,2,FALSE))</f>
        <v>生産実績構成マスタ－項目</v>
      </c>
      <c r="D39" s="11" t="s">
        <v>246</v>
      </c>
      <c r="E39" s="9" t="str">
        <f>SOURCE_OPERATION_TABLELIST5[[#This Row],[テーブル名]]</f>
        <v>生産実績構成マスタ－項目</v>
      </c>
    </row>
    <row r="40" spans="1:5" x14ac:dyDescent="0.15">
      <c r="A40">
        <f t="shared" si="3"/>
        <v>39</v>
      </c>
      <c r="B40" t="s">
        <v>280</v>
      </c>
      <c r="C40" s="9" t="str">
        <f>IF(ISNA( VLOOKUP(D40,'テーブル一覧（移行先）'!$A$2:$B$340,2,FALSE)),"",VLOOKUP(D40,'テーブル一覧（移行先）'!$A$2:$B$340,2,FALSE))</f>
        <v>生産実績検査マスタ－項目</v>
      </c>
      <c r="D40" s="11" t="s">
        <v>247</v>
      </c>
      <c r="E40" s="9" t="str">
        <f>SOURCE_OPERATION_TABLELIST5[[#This Row],[テーブル名]]</f>
        <v>生産実績検査マスタ－項目</v>
      </c>
    </row>
    <row r="41" spans="1:5" x14ac:dyDescent="0.15">
      <c r="A41">
        <f t="shared" si="3"/>
        <v>40</v>
      </c>
      <c r="B41" t="s">
        <v>280</v>
      </c>
      <c r="C41" s="9" t="str">
        <f>IF(ISNA( VLOOKUP(D41,'テーブル一覧（移行先）'!$A$2:$B$340,2,FALSE)),"",VLOOKUP(D41,'テーブル一覧（移行先）'!$A$2:$B$340,2,FALSE))</f>
        <v>生産実績検査マスタ－項目－条件</v>
      </c>
      <c r="D41" s="11" t="s">
        <v>248</v>
      </c>
      <c r="E41" s="9" t="str">
        <f>SOURCE_OPERATION_TABLELIST5[[#This Row],[テーブル名]]</f>
        <v>生産実績検査マスタ－項目－条件</v>
      </c>
    </row>
    <row r="42" spans="1:5" x14ac:dyDescent="0.15">
      <c r="A42">
        <f t="shared" si="3"/>
        <v>41</v>
      </c>
      <c r="B42" t="s">
        <v>280</v>
      </c>
      <c r="C42" s="9" t="str">
        <f>IF(ISNA( VLOOKUP(D42,'テーブル一覧（移行先）'!$A$2:$B$340,2,FALSE)),"",VLOOKUP(D42,'テーブル一覧（移行先）'!$A$2:$B$340,2,FALSE))</f>
        <v>生産実績測定マスタ－項目</v>
      </c>
      <c r="D42" s="11" t="s">
        <v>249</v>
      </c>
      <c r="E42" s="9" t="str">
        <f>SOURCE_OPERATION_TABLELIST5[[#This Row],[テーブル名]]</f>
        <v>生産実績測定マスタ－項目</v>
      </c>
    </row>
    <row r="43" spans="1:5" x14ac:dyDescent="0.15">
      <c r="A43">
        <f t="shared" si="3"/>
        <v>42</v>
      </c>
      <c r="B43" t="s">
        <v>280</v>
      </c>
      <c r="C43" s="9" t="str">
        <f>IF(ISNA( VLOOKUP(D43,'テーブル一覧（移行先）'!$A$2:$B$340,2,FALSE)),"",VLOOKUP(D43,'テーブル一覧（移行先）'!$A$2:$B$340,2,FALSE))</f>
        <v>生産実績測定マスタ－項目－条件</v>
      </c>
      <c r="D43" s="11" t="s">
        <v>250</v>
      </c>
      <c r="E43" s="9" t="str">
        <f>SOURCE_OPERATION_TABLELIST5[[#This Row],[テーブル名]]</f>
        <v>生産実績測定マスタ－項目－条件</v>
      </c>
    </row>
    <row r="44" spans="1:5" x14ac:dyDescent="0.15">
      <c r="A44">
        <f>ROW()-1</f>
        <v>43</v>
      </c>
      <c r="B44" t="s">
        <v>279</v>
      </c>
      <c r="C44" s="11" t="s">
        <v>281</v>
      </c>
      <c r="D44" s="11" t="s">
        <v>281</v>
      </c>
      <c r="E44" s="9" t="str">
        <f>SOURCE_OPERATION_TABLELIST5[[#This Row],[テーブル名]]</f>
        <v>TS_Anomary</v>
      </c>
    </row>
    <row r="45" spans="1:5" x14ac:dyDescent="0.15">
      <c r="A45">
        <f>ROW()-1</f>
        <v>44</v>
      </c>
      <c r="B45" t="s">
        <v>279</v>
      </c>
      <c r="C45" s="11" t="s">
        <v>283</v>
      </c>
      <c r="D45" s="11" t="s">
        <v>284</v>
      </c>
      <c r="E45" s="9" t="str">
        <f>SOURCE_OPERATION_TABLELIST5[[#This Row],[テーブル名]]</f>
        <v>TS_OperateOperationAnomarySet</v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128"/>
  <sheetViews>
    <sheetView topLeftCell="A91" workbookViewId="0">
      <selection activeCell="C120" sqref="C120"/>
    </sheetView>
  </sheetViews>
  <sheetFormatPr defaultRowHeight="13.5" x14ac:dyDescent="0.15"/>
  <cols>
    <col min="1" max="1" width="47.125" customWidth="1"/>
    <col min="2" max="2" width="53" customWidth="1"/>
    <col min="3" max="3" width="39.625" customWidth="1"/>
  </cols>
  <sheetData>
    <row r="1" spans="1:4" x14ac:dyDescent="0.15">
      <c r="A1" s="5" t="s">
        <v>174</v>
      </c>
      <c r="B1" s="5" t="s">
        <v>0</v>
      </c>
      <c r="C1" s="6" t="s">
        <v>175</v>
      </c>
      <c r="D1" s="14" t="s">
        <v>251</v>
      </c>
    </row>
    <row r="2" spans="1:4" x14ac:dyDescent="0.15">
      <c r="A2" s="3" t="s">
        <v>34</v>
      </c>
      <c r="B2" s="3" t="s">
        <v>5</v>
      </c>
      <c r="C2" s="3" t="s">
        <v>5</v>
      </c>
      <c r="D2" s="13">
        <f>LEN(テーブル1[[#This Row],[シート名]])</f>
        <v>4</v>
      </c>
    </row>
    <row r="3" spans="1:4" x14ac:dyDescent="0.15">
      <c r="A3" s="4" t="s">
        <v>7</v>
      </c>
      <c r="B3" s="4" t="s">
        <v>17</v>
      </c>
      <c r="C3" s="4" t="s">
        <v>17</v>
      </c>
      <c r="D3" s="13">
        <f>LEN(テーブル1[[#This Row],[シート名]])</f>
        <v>10</v>
      </c>
    </row>
    <row r="4" spans="1:4" x14ac:dyDescent="0.15">
      <c r="A4" s="3" t="s">
        <v>8</v>
      </c>
      <c r="B4" s="3" t="s">
        <v>18</v>
      </c>
      <c r="C4" s="3" t="s">
        <v>18</v>
      </c>
      <c r="D4" s="13">
        <f>LEN(テーブル1[[#This Row],[シート名]])</f>
        <v>4</v>
      </c>
    </row>
    <row r="5" spans="1:4" x14ac:dyDescent="0.15">
      <c r="A5" s="4" t="s">
        <v>9</v>
      </c>
      <c r="B5" s="4" t="s">
        <v>19</v>
      </c>
      <c r="C5" s="4" t="s">
        <v>19</v>
      </c>
      <c r="D5" s="13">
        <f>LEN(テーブル1[[#This Row],[シート名]])</f>
        <v>8</v>
      </c>
    </row>
    <row r="6" spans="1:4" x14ac:dyDescent="0.15">
      <c r="A6" s="3" t="s">
        <v>10</v>
      </c>
      <c r="B6" s="3" t="s">
        <v>20</v>
      </c>
      <c r="C6" s="3" t="s">
        <v>20</v>
      </c>
      <c r="D6" s="13">
        <f>LEN(テーブル1[[#This Row],[シート名]])</f>
        <v>8</v>
      </c>
    </row>
    <row r="7" spans="1:4" x14ac:dyDescent="0.15">
      <c r="A7" s="4" t="s">
        <v>12</v>
      </c>
      <c r="B7" s="4" t="s">
        <v>22</v>
      </c>
      <c r="C7" s="4" t="s">
        <v>22</v>
      </c>
      <c r="D7" s="13">
        <f>LEN(テーブル1[[#This Row],[シート名]])</f>
        <v>8</v>
      </c>
    </row>
    <row r="8" spans="1:4" x14ac:dyDescent="0.15">
      <c r="A8" s="3" t="s">
        <v>35</v>
      </c>
      <c r="B8" s="3" t="s">
        <v>36</v>
      </c>
      <c r="C8" s="3" t="s">
        <v>36</v>
      </c>
      <c r="D8" s="13">
        <f>LEN(テーブル1[[#This Row],[シート名]])</f>
        <v>6</v>
      </c>
    </row>
    <row r="9" spans="1:4" x14ac:dyDescent="0.15">
      <c r="A9" s="4" t="s">
        <v>14</v>
      </c>
      <c r="B9" s="4" t="s">
        <v>37</v>
      </c>
      <c r="C9" s="4" t="s">
        <v>37</v>
      </c>
      <c r="D9" s="13">
        <f>LEN(テーブル1[[#This Row],[シート名]])</f>
        <v>4</v>
      </c>
    </row>
    <row r="10" spans="1:4" x14ac:dyDescent="0.15">
      <c r="A10" s="3" t="s">
        <v>13</v>
      </c>
      <c r="B10" s="3" t="s">
        <v>38</v>
      </c>
      <c r="C10" s="3" t="s">
        <v>38</v>
      </c>
      <c r="D10" s="13">
        <f>LEN(テーブル1[[#This Row],[シート名]])</f>
        <v>4</v>
      </c>
    </row>
    <row r="11" spans="1:4" x14ac:dyDescent="0.15">
      <c r="A11" s="4" t="s">
        <v>39</v>
      </c>
      <c r="B11" s="4" t="s">
        <v>40</v>
      </c>
      <c r="C11" s="4" t="s">
        <v>40</v>
      </c>
      <c r="D11" s="13">
        <f>LEN(テーブル1[[#This Row],[シート名]])</f>
        <v>12</v>
      </c>
    </row>
    <row r="12" spans="1:4" x14ac:dyDescent="0.15">
      <c r="A12" s="3" t="s">
        <v>41</v>
      </c>
      <c r="B12" s="3" t="s">
        <v>24</v>
      </c>
      <c r="C12" s="3" t="s">
        <v>24</v>
      </c>
      <c r="D12" s="13">
        <f>LEN(テーブル1[[#This Row],[シート名]])</f>
        <v>10</v>
      </c>
    </row>
    <row r="13" spans="1:4" x14ac:dyDescent="0.15">
      <c r="A13" s="4" t="s">
        <v>42</v>
      </c>
      <c r="B13" s="4" t="s">
        <v>25</v>
      </c>
      <c r="C13" s="4" t="s">
        <v>25</v>
      </c>
      <c r="D13" s="13">
        <f>LEN(テーブル1[[#This Row],[シート名]])</f>
        <v>6</v>
      </c>
    </row>
    <row r="14" spans="1:4" x14ac:dyDescent="0.15">
      <c r="A14" s="3" t="s">
        <v>15</v>
      </c>
      <c r="B14" s="3" t="s">
        <v>43</v>
      </c>
      <c r="C14" s="3" t="s">
        <v>43</v>
      </c>
      <c r="D14" s="13">
        <f>LEN(テーブル1[[#This Row],[シート名]])</f>
        <v>8</v>
      </c>
    </row>
    <row r="15" spans="1:4" x14ac:dyDescent="0.15">
      <c r="A15" s="4" t="s">
        <v>31</v>
      </c>
      <c r="B15" s="4" t="s">
        <v>33</v>
      </c>
      <c r="C15" s="4" t="s">
        <v>33</v>
      </c>
      <c r="D15" s="13">
        <f>LEN(テーブル1[[#This Row],[シート名]])</f>
        <v>6</v>
      </c>
    </row>
    <row r="16" spans="1:4" x14ac:dyDescent="0.15">
      <c r="A16" s="3" t="s">
        <v>16</v>
      </c>
      <c r="B16" s="3" t="s">
        <v>26</v>
      </c>
      <c r="C16" s="3" t="s">
        <v>26</v>
      </c>
      <c r="D16" s="13">
        <f>LEN(テーブル1[[#This Row],[シート名]])</f>
        <v>6</v>
      </c>
    </row>
    <row r="17" spans="1:4" x14ac:dyDescent="0.15">
      <c r="A17" s="4" t="s">
        <v>185</v>
      </c>
      <c r="B17" s="4" t="s">
        <v>44</v>
      </c>
      <c r="C17" s="4" t="s">
        <v>44</v>
      </c>
      <c r="D17" s="13">
        <f>LEN(テーブル1[[#This Row],[シート名]])</f>
        <v>9</v>
      </c>
    </row>
    <row r="18" spans="1:4" x14ac:dyDescent="0.15">
      <c r="A18" s="3" t="s">
        <v>45</v>
      </c>
      <c r="B18" s="3" t="s">
        <v>21</v>
      </c>
      <c r="C18" s="3" t="s">
        <v>21</v>
      </c>
      <c r="D18" s="13">
        <f>LEN(テーブル1[[#This Row],[シート名]])</f>
        <v>7</v>
      </c>
    </row>
    <row r="19" spans="1:4" x14ac:dyDescent="0.15">
      <c r="A19" s="4" t="s">
        <v>46</v>
      </c>
      <c r="B19" s="4" t="s">
        <v>47</v>
      </c>
      <c r="C19" s="4" t="s">
        <v>47</v>
      </c>
      <c r="D19" s="13">
        <f>LEN(テーブル1[[#This Row],[シート名]])</f>
        <v>5</v>
      </c>
    </row>
    <row r="20" spans="1:4" x14ac:dyDescent="0.15">
      <c r="A20" s="3" t="s">
        <v>48</v>
      </c>
      <c r="B20" s="3" t="s">
        <v>49</v>
      </c>
      <c r="C20" s="3" t="s">
        <v>49</v>
      </c>
      <c r="D20" s="13">
        <f>LEN(テーブル1[[#This Row],[シート名]])</f>
        <v>7</v>
      </c>
    </row>
    <row r="21" spans="1:4" x14ac:dyDescent="0.15">
      <c r="A21" s="4" t="s">
        <v>50</v>
      </c>
      <c r="B21" s="4" t="s">
        <v>51</v>
      </c>
      <c r="C21" s="4" t="s">
        <v>51</v>
      </c>
      <c r="D21" s="13">
        <f>LEN(テーブル1[[#This Row],[シート名]])</f>
        <v>6</v>
      </c>
    </row>
    <row r="22" spans="1:4" x14ac:dyDescent="0.15">
      <c r="A22" s="3" t="s">
        <v>52</v>
      </c>
      <c r="B22" s="3" t="s">
        <v>53</v>
      </c>
      <c r="C22" s="3" t="s">
        <v>53</v>
      </c>
      <c r="D22" s="13">
        <f>LEN(テーブル1[[#This Row],[シート名]])</f>
        <v>6</v>
      </c>
    </row>
    <row r="23" spans="1:4" x14ac:dyDescent="0.15">
      <c r="A23" s="4" t="s">
        <v>54</v>
      </c>
      <c r="B23" s="4" t="s">
        <v>55</v>
      </c>
      <c r="C23" s="4" t="s">
        <v>55</v>
      </c>
      <c r="D23" s="13">
        <f>LEN(テーブル1[[#This Row],[シート名]])</f>
        <v>6</v>
      </c>
    </row>
    <row r="24" spans="1:4" x14ac:dyDescent="0.15">
      <c r="A24" s="3" t="s">
        <v>56</v>
      </c>
      <c r="B24" s="3" t="s">
        <v>57</v>
      </c>
      <c r="C24" s="3" t="s">
        <v>57</v>
      </c>
      <c r="D24" s="13">
        <f>LEN(テーブル1[[#This Row],[シート名]])</f>
        <v>6</v>
      </c>
    </row>
    <row r="25" spans="1:4" x14ac:dyDescent="0.15">
      <c r="A25" s="4" t="s">
        <v>58</v>
      </c>
      <c r="B25" s="4" t="s">
        <v>59</v>
      </c>
      <c r="C25" s="4" t="s">
        <v>59</v>
      </c>
      <c r="D25" s="13">
        <f>LEN(テーブル1[[#This Row],[シート名]])</f>
        <v>6</v>
      </c>
    </row>
    <row r="26" spans="1:4" x14ac:dyDescent="0.15">
      <c r="A26" s="3" t="s">
        <v>60</v>
      </c>
      <c r="B26" s="3" t="s">
        <v>61</v>
      </c>
      <c r="C26" s="3" t="s">
        <v>61</v>
      </c>
      <c r="D26" s="13">
        <f>LEN(テーブル1[[#This Row],[シート名]])</f>
        <v>6</v>
      </c>
    </row>
    <row r="27" spans="1:4" x14ac:dyDescent="0.15">
      <c r="A27" s="4" t="s">
        <v>62</v>
      </c>
      <c r="B27" s="4" t="s">
        <v>63</v>
      </c>
      <c r="C27" s="4" t="s">
        <v>63</v>
      </c>
      <c r="D27" s="13">
        <f>LEN(テーブル1[[#This Row],[シート名]])</f>
        <v>6</v>
      </c>
    </row>
    <row r="28" spans="1:4" x14ac:dyDescent="0.15">
      <c r="A28" s="3" t="s">
        <v>64</v>
      </c>
      <c r="B28" s="3" t="s">
        <v>65</v>
      </c>
      <c r="C28" s="3" t="s">
        <v>65</v>
      </c>
      <c r="D28" s="13">
        <f>LEN(テーブル1[[#This Row],[シート名]])</f>
        <v>5</v>
      </c>
    </row>
    <row r="29" spans="1:4" x14ac:dyDescent="0.15">
      <c r="A29" s="4" t="s">
        <v>66</v>
      </c>
      <c r="B29" s="4" t="s">
        <v>67</v>
      </c>
      <c r="C29" s="4" t="s">
        <v>67</v>
      </c>
      <c r="D29" s="13">
        <f>LEN(テーブル1[[#This Row],[シート名]])</f>
        <v>8</v>
      </c>
    </row>
    <row r="30" spans="1:4" x14ac:dyDescent="0.15">
      <c r="A30" s="3" t="s">
        <v>68</v>
      </c>
      <c r="B30" s="3" t="s">
        <v>69</v>
      </c>
      <c r="C30" s="3" t="s">
        <v>69</v>
      </c>
      <c r="D30" s="13">
        <f>LEN(テーブル1[[#This Row],[シート名]])</f>
        <v>7</v>
      </c>
    </row>
    <row r="31" spans="1:4" x14ac:dyDescent="0.15">
      <c r="A31" s="4" t="s">
        <v>70</v>
      </c>
      <c r="B31" s="4" t="s">
        <v>71</v>
      </c>
      <c r="C31" s="4" t="s">
        <v>71</v>
      </c>
      <c r="D31" s="13">
        <f>LEN(テーブル1[[#This Row],[シート名]])</f>
        <v>13</v>
      </c>
    </row>
    <row r="32" spans="1:4" x14ac:dyDescent="0.15">
      <c r="A32" s="3" t="s">
        <v>72</v>
      </c>
      <c r="B32" s="3" t="s">
        <v>73</v>
      </c>
      <c r="C32" s="3" t="s">
        <v>73</v>
      </c>
      <c r="D32" s="13">
        <f>LEN(テーブル1[[#This Row],[シート名]])</f>
        <v>9</v>
      </c>
    </row>
    <row r="33" spans="1:4" x14ac:dyDescent="0.15">
      <c r="A33" s="4" t="s">
        <v>74</v>
      </c>
      <c r="B33" s="4" t="s">
        <v>75</v>
      </c>
      <c r="C33" s="4" t="s">
        <v>75</v>
      </c>
      <c r="D33" s="13">
        <f>LEN(テーブル1[[#This Row],[シート名]])</f>
        <v>10</v>
      </c>
    </row>
    <row r="34" spans="1:4" x14ac:dyDescent="0.15">
      <c r="A34" s="3" t="s">
        <v>76</v>
      </c>
      <c r="B34" s="3" t="s">
        <v>77</v>
      </c>
      <c r="C34" s="3" t="s">
        <v>77</v>
      </c>
      <c r="D34" s="13">
        <f>LEN(テーブル1[[#This Row],[シート名]])</f>
        <v>11</v>
      </c>
    </row>
    <row r="35" spans="1:4" x14ac:dyDescent="0.15">
      <c r="A35" s="4" t="s">
        <v>78</v>
      </c>
      <c r="B35" s="4" t="s">
        <v>79</v>
      </c>
      <c r="C35" s="4" t="s">
        <v>79</v>
      </c>
      <c r="D35" s="13">
        <f>LEN(テーブル1[[#This Row],[シート名]])</f>
        <v>10</v>
      </c>
    </row>
    <row r="36" spans="1:4" x14ac:dyDescent="0.15">
      <c r="A36" s="3" t="s">
        <v>80</v>
      </c>
      <c r="B36" s="3" t="s">
        <v>81</v>
      </c>
      <c r="C36" s="3" t="s">
        <v>81</v>
      </c>
      <c r="D36" s="13">
        <f>LEN(テーブル1[[#This Row],[シート名]])</f>
        <v>7</v>
      </c>
    </row>
    <row r="37" spans="1:4" x14ac:dyDescent="0.15">
      <c r="A37" s="4" t="s">
        <v>82</v>
      </c>
      <c r="B37" s="4" t="s">
        <v>83</v>
      </c>
      <c r="C37" s="4" t="s">
        <v>83</v>
      </c>
      <c r="D37" s="13">
        <f>LEN(テーブル1[[#This Row],[シート名]])</f>
        <v>7</v>
      </c>
    </row>
    <row r="38" spans="1:4" x14ac:dyDescent="0.15">
      <c r="A38" s="3" t="s">
        <v>84</v>
      </c>
      <c r="B38" s="3" t="s">
        <v>85</v>
      </c>
      <c r="C38" s="3" t="s">
        <v>85</v>
      </c>
      <c r="D38" s="13">
        <f>LEN(テーブル1[[#This Row],[シート名]])</f>
        <v>8</v>
      </c>
    </row>
    <row r="39" spans="1:4" x14ac:dyDescent="0.15">
      <c r="A39" s="4" t="s">
        <v>86</v>
      </c>
      <c r="B39" s="4" t="s">
        <v>87</v>
      </c>
      <c r="C39" s="4" t="s">
        <v>87</v>
      </c>
      <c r="D39" s="13">
        <f>LEN(テーブル1[[#This Row],[シート名]])</f>
        <v>7</v>
      </c>
    </row>
    <row r="40" spans="1:4" x14ac:dyDescent="0.15">
      <c r="A40" s="3" t="s">
        <v>88</v>
      </c>
      <c r="B40" s="3" t="s">
        <v>89</v>
      </c>
      <c r="C40" s="3" t="s">
        <v>89</v>
      </c>
      <c r="D40" s="13">
        <f>LEN(テーブル1[[#This Row],[シート名]])</f>
        <v>7</v>
      </c>
    </row>
    <row r="41" spans="1:4" x14ac:dyDescent="0.15">
      <c r="A41" s="3" t="s">
        <v>90</v>
      </c>
      <c r="B41" s="3" t="s">
        <v>91</v>
      </c>
      <c r="C41" s="3" t="s">
        <v>91</v>
      </c>
      <c r="D41" s="13">
        <f>LEN(テーブル1[[#This Row],[シート名]])</f>
        <v>8</v>
      </c>
    </row>
    <row r="42" spans="1:4" x14ac:dyDescent="0.15">
      <c r="A42" s="3" t="s">
        <v>92</v>
      </c>
      <c r="B42" s="3" t="s">
        <v>93</v>
      </c>
      <c r="C42" s="3" t="s">
        <v>93</v>
      </c>
      <c r="D42" s="13">
        <f>LEN(テーブル1[[#This Row],[シート名]])</f>
        <v>8</v>
      </c>
    </row>
    <row r="43" spans="1:4" x14ac:dyDescent="0.15">
      <c r="A43" s="3" t="s">
        <v>94</v>
      </c>
      <c r="B43" s="3" t="s">
        <v>95</v>
      </c>
      <c r="C43" s="3" t="s">
        <v>95</v>
      </c>
      <c r="D43" s="13">
        <f>LEN(テーブル1[[#This Row],[シート名]])</f>
        <v>8</v>
      </c>
    </row>
    <row r="44" spans="1:4" x14ac:dyDescent="0.15">
      <c r="A44" s="3" t="s">
        <v>96</v>
      </c>
      <c r="B44" s="3" t="s">
        <v>97</v>
      </c>
      <c r="C44" s="3" t="s">
        <v>97</v>
      </c>
      <c r="D44" s="13">
        <f>LEN(テーブル1[[#This Row],[シート名]])</f>
        <v>7</v>
      </c>
    </row>
    <row r="45" spans="1:4" x14ac:dyDescent="0.15">
      <c r="A45" s="4" t="s">
        <v>98</v>
      </c>
      <c r="B45" s="4" t="s">
        <v>99</v>
      </c>
      <c r="C45" s="4" t="s">
        <v>99</v>
      </c>
      <c r="D45" s="13">
        <f>LEN(テーブル1[[#This Row],[シート名]])</f>
        <v>7</v>
      </c>
    </row>
    <row r="46" spans="1:4" x14ac:dyDescent="0.15">
      <c r="A46" s="3" t="s">
        <v>100</v>
      </c>
      <c r="B46" s="3" t="s">
        <v>101</v>
      </c>
      <c r="C46" s="3" t="s">
        <v>101</v>
      </c>
      <c r="D46" s="13">
        <f>LEN(テーブル1[[#This Row],[シート名]])</f>
        <v>7</v>
      </c>
    </row>
    <row r="47" spans="1:4" x14ac:dyDescent="0.15">
      <c r="A47" s="4" t="s">
        <v>102</v>
      </c>
      <c r="B47" s="4" t="s">
        <v>103</v>
      </c>
      <c r="C47" s="4" t="s">
        <v>103</v>
      </c>
      <c r="D47" s="13">
        <f>LEN(テーブル1[[#This Row],[シート名]])</f>
        <v>8</v>
      </c>
    </row>
    <row r="48" spans="1:4" x14ac:dyDescent="0.15">
      <c r="A48" s="3" t="s">
        <v>104</v>
      </c>
      <c r="B48" s="3" t="s">
        <v>105</v>
      </c>
      <c r="C48" s="3" t="s">
        <v>105</v>
      </c>
      <c r="D48" s="13">
        <f>LEN(テーブル1[[#This Row],[シート名]])</f>
        <v>8</v>
      </c>
    </row>
    <row r="49" spans="1:4" x14ac:dyDescent="0.15">
      <c r="A49" s="4" t="s">
        <v>106</v>
      </c>
      <c r="B49" s="4" t="s">
        <v>107</v>
      </c>
      <c r="C49" s="4" t="s">
        <v>107</v>
      </c>
      <c r="D49" s="13">
        <f>LEN(テーブル1[[#This Row],[シート名]])</f>
        <v>7</v>
      </c>
    </row>
    <row r="50" spans="1:4" x14ac:dyDescent="0.15">
      <c r="A50" s="3" t="s">
        <v>108</v>
      </c>
      <c r="B50" s="3" t="s">
        <v>109</v>
      </c>
      <c r="C50" s="3" t="s">
        <v>109</v>
      </c>
      <c r="D50" s="13">
        <f>LEN(テーブル1[[#This Row],[シート名]])</f>
        <v>7</v>
      </c>
    </row>
    <row r="51" spans="1:4" x14ac:dyDescent="0.15">
      <c r="A51" s="4" t="s">
        <v>110</v>
      </c>
      <c r="B51" s="4" t="s">
        <v>111</v>
      </c>
      <c r="C51" s="4" t="s">
        <v>111</v>
      </c>
      <c r="D51" s="13">
        <f>LEN(テーブル1[[#This Row],[シート名]])</f>
        <v>9</v>
      </c>
    </row>
    <row r="52" spans="1:4" x14ac:dyDescent="0.15">
      <c r="A52" s="3" t="s">
        <v>112</v>
      </c>
      <c r="B52" s="3" t="s">
        <v>113</v>
      </c>
      <c r="C52" s="3" t="s">
        <v>113</v>
      </c>
      <c r="D52" s="13">
        <f>LEN(テーブル1[[#This Row],[シート名]])</f>
        <v>8</v>
      </c>
    </row>
    <row r="53" spans="1:4" x14ac:dyDescent="0.15">
      <c r="A53" s="4" t="s">
        <v>114</v>
      </c>
      <c r="B53" s="4" t="s">
        <v>115</v>
      </c>
      <c r="C53" s="4" t="s">
        <v>115</v>
      </c>
      <c r="D53" s="13">
        <f>LEN(テーブル1[[#This Row],[シート名]])</f>
        <v>11</v>
      </c>
    </row>
    <row r="54" spans="1:4" x14ac:dyDescent="0.15">
      <c r="A54" s="3" t="s">
        <v>116</v>
      </c>
      <c r="B54" s="3" t="s">
        <v>117</v>
      </c>
      <c r="C54" s="3" t="s">
        <v>117</v>
      </c>
      <c r="D54" s="13">
        <f>LEN(テーブル1[[#This Row],[シート名]])</f>
        <v>10</v>
      </c>
    </row>
    <row r="55" spans="1:4" x14ac:dyDescent="0.15">
      <c r="A55" s="4" t="s">
        <v>118</v>
      </c>
      <c r="B55" s="4" t="s">
        <v>119</v>
      </c>
      <c r="C55" s="4" t="s">
        <v>119</v>
      </c>
      <c r="D55" s="13">
        <f>LEN(テーブル1[[#This Row],[シート名]])</f>
        <v>11</v>
      </c>
    </row>
    <row r="56" spans="1:4" x14ac:dyDescent="0.15">
      <c r="A56" s="3" t="s">
        <v>120</v>
      </c>
      <c r="B56" s="3" t="s">
        <v>121</v>
      </c>
      <c r="C56" s="3" t="s">
        <v>121</v>
      </c>
      <c r="D56" s="13">
        <f>LEN(テーブル1[[#This Row],[シート名]])</f>
        <v>12</v>
      </c>
    </row>
    <row r="57" spans="1:4" x14ac:dyDescent="0.15">
      <c r="A57" s="4" t="s">
        <v>122</v>
      </c>
      <c r="B57" s="4" t="s">
        <v>123</v>
      </c>
      <c r="C57" s="4" t="s">
        <v>123</v>
      </c>
      <c r="D57" s="13">
        <f>LEN(テーブル1[[#This Row],[シート名]])</f>
        <v>11</v>
      </c>
    </row>
    <row r="58" spans="1:4" x14ac:dyDescent="0.15">
      <c r="A58" s="3" t="s">
        <v>124</v>
      </c>
      <c r="B58" s="3" t="s">
        <v>125</v>
      </c>
      <c r="C58" s="3" t="s">
        <v>125</v>
      </c>
      <c r="D58" s="13">
        <f>LEN(テーブル1[[#This Row],[シート名]])</f>
        <v>15</v>
      </c>
    </row>
    <row r="59" spans="1:4" x14ac:dyDescent="0.15">
      <c r="A59" s="4" t="s">
        <v>126</v>
      </c>
      <c r="B59" s="4" t="s">
        <v>127</v>
      </c>
      <c r="C59" s="4" t="s">
        <v>127</v>
      </c>
      <c r="D59" s="13">
        <f>LEN(テーブル1[[#This Row],[シート名]])</f>
        <v>9</v>
      </c>
    </row>
    <row r="60" spans="1:4" x14ac:dyDescent="0.15">
      <c r="A60" s="3" t="s">
        <v>128</v>
      </c>
      <c r="B60" s="3" t="s">
        <v>129</v>
      </c>
      <c r="C60" s="3" t="s">
        <v>129</v>
      </c>
      <c r="D60" s="13">
        <f>LEN(テーブル1[[#This Row],[シート名]])</f>
        <v>9</v>
      </c>
    </row>
    <row r="61" spans="1:4" x14ac:dyDescent="0.15">
      <c r="A61" s="4" t="s">
        <v>130</v>
      </c>
      <c r="B61" s="4" t="s">
        <v>131</v>
      </c>
      <c r="C61" s="4" t="s">
        <v>131</v>
      </c>
      <c r="D61" s="13">
        <f>LEN(テーブル1[[#This Row],[シート名]])</f>
        <v>7</v>
      </c>
    </row>
    <row r="62" spans="1:4" x14ac:dyDescent="0.15">
      <c r="A62" s="3" t="s">
        <v>132</v>
      </c>
      <c r="B62" s="3" t="s">
        <v>133</v>
      </c>
      <c r="C62" s="3" t="s">
        <v>133</v>
      </c>
      <c r="D62" s="13">
        <f>LEN(テーブル1[[#This Row],[シート名]])</f>
        <v>6</v>
      </c>
    </row>
    <row r="63" spans="1:4" x14ac:dyDescent="0.15">
      <c r="A63" s="4" t="s">
        <v>134</v>
      </c>
      <c r="B63" s="4" t="s">
        <v>135</v>
      </c>
      <c r="C63" s="4" t="s">
        <v>135</v>
      </c>
      <c r="D63" s="13">
        <f>LEN(テーブル1[[#This Row],[シート名]])</f>
        <v>9</v>
      </c>
    </row>
    <row r="64" spans="1:4" x14ac:dyDescent="0.15">
      <c r="A64" s="3" t="s">
        <v>136</v>
      </c>
      <c r="B64" s="3" t="s">
        <v>137</v>
      </c>
      <c r="C64" s="3" t="s">
        <v>137</v>
      </c>
      <c r="D64" s="13">
        <f>LEN(テーブル1[[#This Row],[シート名]])</f>
        <v>12</v>
      </c>
    </row>
    <row r="65" spans="1:4" x14ac:dyDescent="0.15">
      <c r="A65" s="4" t="s">
        <v>138</v>
      </c>
      <c r="B65" s="4" t="s">
        <v>139</v>
      </c>
      <c r="C65" s="4" t="s">
        <v>139</v>
      </c>
      <c r="D65" s="13">
        <f>LEN(テーブル1[[#This Row],[シート名]])</f>
        <v>10</v>
      </c>
    </row>
    <row r="66" spans="1:4" x14ac:dyDescent="0.15">
      <c r="A66" s="3" t="s">
        <v>140</v>
      </c>
      <c r="B66" s="3" t="s">
        <v>141</v>
      </c>
      <c r="C66" s="3" t="s">
        <v>141</v>
      </c>
      <c r="D66" s="13">
        <f>LEN(テーブル1[[#This Row],[シート名]])</f>
        <v>6</v>
      </c>
    </row>
    <row r="67" spans="1:4" x14ac:dyDescent="0.15">
      <c r="A67" s="4" t="s">
        <v>142</v>
      </c>
      <c r="B67" s="4" t="s">
        <v>143</v>
      </c>
      <c r="C67" s="4" t="s">
        <v>143</v>
      </c>
      <c r="D67" s="13">
        <f>LEN(テーブル1[[#This Row],[シート名]])</f>
        <v>6</v>
      </c>
    </row>
    <row r="68" spans="1:4" x14ac:dyDescent="0.15">
      <c r="A68" s="3" t="s">
        <v>144</v>
      </c>
      <c r="B68" s="3" t="s">
        <v>6</v>
      </c>
      <c r="C68" s="3" t="s">
        <v>6</v>
      </c>
      <c r="D68" s="13">
        <f>LEN(テーブル1[[#This Row],[シート名]])</f>
        <v>2</v>
      </c>
    </row>
    <row r="69" spans="1:4" x14ac:dyDescent="0.15">
      <c r="A69" s="4" t="s">
        <v>145</v>
      </c>
      <c r="B69" s="4" t="s">
        <v>146</v>
      </c>
      <c r="C69" s="4" t="s">
        <v>146</v>
      </c>
      <c r="D69" s="13">
        <f>LEN(テーブル1[[#This Row],[シート名]])</f>
        <v>6</v>
      </c>
    </row>
    <row r="70" spans="1:4" x14ac:dyDescent="0.15">
      <c r="A70" s="3" t="s">
        <v>147</v>
      </c>
      <c r="B70" s="3" t="s">
        <v>148</v>
      </c>
      <c r="C70" s="3" t="s">
        <v>148</v>
      </c>
      <c r="D70" s="13">
        <f>LEN(テーブル1[[#This Row],[シート名]])</f>
        <v>8</v>
      </c>
    </row>
    <row r="71" spans="1:4" x14ac:dyDescent="0.15">
      <c r="A71" s="4" t="s">
        <v>149</v>
      </c>
      <c r="B71" s="4" t="s">
        <v>150</v>
      </c>
      <c r="C71" s="4" t="s">
        <v>150</v>
      </c>
      <c r="D71" s="13">
        <f>LEN(テーブル1[[#This Row],[シート名]])</f>
        <v>9</v>
      </c>
    </row>
    <row r="72" spans="1:4" x14ac:dyDescent="0.15">
      <c r="A72" s="3" t="s">
        <v>151</v>
      </c>
      <c r="B72" s="3" t="s">
        <v>152</v>
      </c>
      <c r="C72" s="3" t="s">
        <v>152</v>
      </c>
      <c r="D72" s="13">
        <f>LEN(テーブル1[[#This Row],[シート名]])</f>
        <v>6</v>
      </c>
    </row>
    <row r="73" spans="1:4" x14ac:dyDescent="0.15">
      <c r="A73" s="4" t="s">
        <v>153</v>
      </c>
      <c r="B73" s="4" t="s">
        <v>154</v>
      </c>
      <c r="C73" s="4" t="s">
        <v>154</v>
      </c>
      <c r="D73" s="13">
        <f>LEN(テーブル1[[#This Row],[シート名]])</f>
        <v>6</v>
      </c>
    </row>
    <row r="74" spans="1:4" x14ac:dyDescent="0.15">
      <c r="A74" s="3" t="s">
        <v>155</v>
      </c>
      <c r="B74" s="3" t="s">
        <v>156</v>
      </c>
      <c r="C74" s="3" t="s">
        <v>156</v>
      </c>
      <c r="D74" s="13">
        <f>LEN(テーブル1[[#This Row],[シート名]])</f>
        <v>12</v>
      </c>
    </row>
    <row r="75" spans="1:4" x14ac:dyDescent="0.15">
      <c r="A75" s="4" t="s">
        <v>157</v>
      </c>
      <c r="B75" s="4" t="s">
        <v>158</v>
      </c>
      <c r="C75" s="4" t="s">
        <v>158</v>
      </c>
      <c r="D75" s="13">
        <f>LEN(テーブル1[[#This Row],[シート名]])</f>
        <v>14</v>
      </c>
    </row>
    <row r="76" spans="1:4" x14ac:dyDescent="0.15">
      <c r="A76" s="3" t="s">
        <v>159</v>
      </c>
      <c r="B76" s="3" t="s">
        <v>160</v>
      </c>
      <c r="C76" s="3" t="s">
        <v>160</v>
      </c>
      <c r="D76" s="13">
        <f>LEN(テーブル1[[#This Row],[シート名]])</f>
        <v>11</v>
      </c>
    </row>
    <row r="77" spans="1:4" x14ac:dyDescent="0.15">
      <c r="A77" s="4" t="s">
        <v>161</v>
      </c>
      <c r="B77" s="4" t="s">
        <v>162</v>
      </c>
      <c r="C77" s="4" t="s">
        <v>162</v>
      </c>
      <c r="D77" s="13">
        <f>LEN(テーブル1[[#This Row],[シート名]])</f>
        <v>10</v>
      </c>
    </row>
    <row r="78" spans="1:4" x14ac:dyDescent="0.15">
      <c r="A78" s="3" t="s">
        <v>163</v>
      </c>
      <c r="B78" s="3" t="s">
        <v>164</v>
      </c>
      <c r="C78" s="3" t="s">
        <v>164</v>
      </c>
      <c r="D78" s="13">
        <f>LEN(テーブル1[[#This Row],[シート名]])</f>
        <v>14</v>
      </c>
    </row>
    <row r="79" spans="1:4" x14ac:dyDescent="0.15">
      <c r="A79" s="4" t="s">
        <v>165</v>
      </c>
      <c r="B79" s="4" t="s">
        <v>166</v>
      </c>
      <c r="C79" s="4" t="s">
        <v>166</v>
      </c>
      <c r="D79" s="13">
        <f>LEN(テーブル1[[#This Row],[シート名]])</f>
        <v>14</v>
      </c>
    </row>
    <row r="80" spans="1:4" x14ac:dyDescent="0.15">
      <c r="A80" s="3" t="s">
        <v>167</v>
      </c>
      <c r="B80" s="3" t="s">
        <v>168</v>
      </c>
      <c r="C80" s="3" t="s">
        <v>168</v>
      </c>
      <c r="D80" s="13">
        <f>LEN(テーブル1[[#This Row],[シート名]])</f>
        <v>14</v>
      </c>
    </row>
    <row r="81" spans="1:4" x14ac:dyDescent="0.15">
      <c r="A81" s="4" t="s">
        <v>169</v>
      </c>
      <c r="B81" s="4" t="s">
        <v>170</v>
      </c>
      <c r="C81" s="4" t="s">
        <v>170</v>
      </c>
      <c r="D81" s="13">
        <f>LEN(テーブル1[[#This Row],[シート名]])</f>
        <v>14</v>
      </c>
    </row>
    <row r="82" spans="1:4" x14ac:dyDescent="0.15">
      <c r="A82" s="3" t="s">
        <v>171</v>
      </c>
      <c r="B82" s="3" t="s">
        <v>172</v>
      </c>
      <c r="C82" s="3" t="s">
        <v>172</v>
      </c>
      <c r="D82" s="13">
        <f>LEN(テーブル1[[#This Row],[シート名]])</f>
        <v>14</v>
      </c>
    </row>
    <row r="83" spans="1:4" x14ac:dyDescent="0.15">
      <c r="A83" s="12" t="s">
        <v>209</v>
      </c>
      <c r="B83" s="7" t="s">
        <v>188</v>
      </c>
      <c r="C83" s="7" t="s">
        <v>188</v>
      </c>
      <c r="D83" s="13">
        <f>LEN(テーブル1[[#This Row],[シート名]])</f>
        <v>7</v>
      </c>
    </row>
    <row r="84" spans="1:4" x14ac:dyDescent="0.15">
      <c r="A84" s="12" t="s">
        <v>176</v>
      </c>
      <c r="B84" s="8" t="s">
        <v>189</v>
      </c>
      <c r="C84" s="8" t="s">
        <v>189</v>
      </c>
      <c r="D84" s="13">
        <f>LEN(テーブル1[[#This Row],[シート名]])</f>
        <v>7</v>
      </c>
    </row>
    <row r="85" spans="1:4" x14ac:dyDescent="0.15">
      <c r="A85" s="12" t="s">
        <v>210</v>
      </c>
      <c r="B85" s="8" t="s">
        <v>190</v>
      </c>
      <c r="C85" s="8" t="s">
        <v>190</v>
      </c>
      <c r="D85" s="13">
        <f>LEN(テーブル1[[#This Row],[シート名]])</f>
        <v>7</v>
      </c>
    </row>
    <row r="86" spans="1:4" x14ac:dyDescent="0.15">
      <c r="A86" s="12" t="s">
        <v>177</v>
      </c>
      <c r="B86" s="8" t="s">
        <v>191</v>
      </c>
      <c r="C86" s="8" t="s">
        <v>191</v>
      </c>
      <c r="D86" s="13">
        <f>LEN(テーブル1[[#This Row],[シート名]])</f>
        <v>11</v>
      </c>
    </row>
    <row r="87" spans="1:4" x14ac:dyDescent="0.15">
      <c r="A87" s="12" t="s">
        <v>211</v>
      </c>
      <c r="B87" s="8" t="s">
        <v>192</v>
      </c>
      <c r="C87" s="8" t="s">
        <v>192</v>
      </c>
      <c r="D87" s="13">
        <f>LEN(テーブル1[[#This Row],[シート名]])</f>
        <v>7</v>
      </c>
    </row>
    <row r="88" spans="1:4" x14ac:dyDescent="0.15">
      <c r="A88" s="12" t="s">
        <v>212</v>
      </c>
      <c r="B88" s="8" t="s">
        <v>193</v>
      </c>
      <c r="C88" s="8" t="s">
        <v>193</v>
      </c>
      <c r="D88" s="13">
        <f>LEN(テーブル1[[#This Row],[シート名]])</f>
        <v>7</v>
      </c>
    </row>
    <row r="89" spans="1:4" x14ac:dyDescent="0.15">
      <c r="A89" s="12" t="s">
        <v>178</v>
      </c>
      <c r="B89" s="8" t="s">
        <v>194</v>
      </c>
      <c r="C89" s="8" t="s">
        <v>194</v>
      </c>
      <c r="D89" s="13">
        <f>LEN(テーブル1[[#This Row],[シート名]])</f>
        <v>16</v>
      </c>
    </row>
    <row r="90" spans="1:4" x14ac:dyDescent="0.15">
      <c r="A90" s="12" t="s">
        <v>179</v>
      </c>
      <c r="B90" s="8" t="s">
        <v>195</v>
      </c>
      <c r="C90" s="8" t="s">
        <v>195</v>
      </c>
      <c r="D90" s="13">
        <f>LEN(テーブル1[[#This Row],[シート名]])</f>
        <v>13</v>
      </c>
    </row>
    <row r="91" spans="1:4" x14ac:dyDescent="0.15">
      <c r="A91" s="12" t="s">
        <v>180</v>
      </c>
      <c r="B91" s="8" t="s">
        <v>196</v>
      </c>
      <c r="C91" s="8" t="s">
        <v>196</v>
      </c>
      <c r="D91" s="13">
        <f>LEN(テーブル1[[#This Row],[シート名]])</f>
        <v>16</v>
      </c>
    </row>
    <row r="92" spans="1:4" x14ac:dyDescent="0.15">
      <c r="A92" s="12" t="s">
        <v>213</v>
      </c>
      <c r="B92" s="8" t="s">
        <v>197</v>
      </c>
      <c r="C92" s="8" t="s">
        <v>197</v>
      </c>
      <c r="D92" s="13">
        <f>LEN(テーブル1[[#This Row],[シート名]])</f>
        <v>9</v>
      </c>
    </row>
    <row r="93" spans="1:4" x14ac:dyDescent="0.15">
      <c r="A93" s="12" t="s">
        <v>221</v>
      </c>
      <c r="B93" s="8" t="s">
        <v>198</v>
      </c>
      <c r="C93" s="8" t="s">
        <v>198</v>
      </c>
      <c r="D93" s="13">
        <f>LEN(テーブル1[[#This Row],[シート名]])</f>
        <v>10</v>
      </c>
    </row>
    <row r="94" spans="1:4" x14ac:dyDescent="0.15">
      <c r="A94" s="12" t="s">
        <v>214</v>
      </c>
      <c r="B94" s="8" t="s">
        <v>199</v>
      </c>
      <c r="C94" s="8" t="s">
        <v>199</v>
      </c>
      <c r="D94" s="13">
        <f>LEN(テーブル1[[#This Row],[シート名]])</f>
        <v>12</v>
      </c>
    </row>
    <row r="95" spans="1:4" x14ac:dyDescent="0.15">
      <c r="A95" s="12" t="s">
        <v>215</v>
      </c>
      <c r="B95" s="8" t="s">
        <v>200</v>
      </c>
      <c r="C95" s="8" t="s">
        <v>200</v>
      </c>
      <c r="D95" s="13">
        <f>LEN(テーブル1[[#This Row],[シート名]])</f>
        <v>9</v>
      </c>
    </row>
    <row r="96" spans="1:4" x14ac:dyDescent="0.15">
      <c r="A96" s="12" t="s">
        <v>216</v>
      </c>
      <c r="B96" s="8" t="s">
        <v>201</v>
      </c>
      <c r="C96" s="8" t="s">
        <v>201</v>
      </c>
      <c r="D96" s="13">
        <f>LEN(テーブル1[[#This Row],[シート名]])</f>
        <v>8</v>
      </c>
    </row>
    <row r="97" spans="1:4" x14ac:dyDescent="0.15">
      <c r="A97" s="12" t="s">
        <v>217</v>
      </c>
      <c r="B97" s="8" t="s">
        <v>202</v>
      </c>
      <c r="C97" s="8" t="s">
        <v>202</v>
      </c>
      <c r="D97" s="13">
        <f>LEN(テーブル1[[#This Row],[シート名]])</f>
        <v>12</v>
      </c>
    </row>
    <row r="98" spans="1:4" x14ac:dyDescent="0.15">
      <c r="A98" s="12" t="s">
        <v>181</v>
      </c>
      <c r="B98" s="8" t="s">
        <v>203</v>
      </c>
      <c r="C98" s="8" t="s">
        <v>203</v>
      </c>
      <c r="D98" s="13">
        <f>LEN(テーブル1[[#This Row],[シート名]])</f>
        <v>9</v>
      </c>
    </row>
    <row r="99" spans="1:4" x14ac:dyDescent="0.15">
      <c r="A99" s="12" t="s">
        <v>182</v>
      </c>
      <c r="B99" s="8" t="s">
        <v>204</v>
      </c>
      <c r="C99" s="8" t="s">
        <v>204</v>
      </c>
      <c r="D99" s="13">
        <f>LEN(テーブル1[[#This Row],[シート名]])</f>
        <v>9</v>
      </c>
    </row>
    <row r="100" spans="1:4" x14ac:dyDescent="0.15">
      <c r="A100" s="12" t="s">
        <v>218</v>
      </c>
      <c r="B100" s="8" t="s">
        <v>205</v>
      </c>
      <c r="C100" s="8" t="s">
        <v>205</v>
      </c>
      <c r="D100" s="13">
        <f>LEN(テーブル1[[#This Row],[シート名]])</f>
        <v>12</v>
      </c>
    </row>
    <row r="101" spans="1:4" x14ac:dyDescent="0.15">
      <c r="A101" s="12" t="s">
        <v>219</v>
      </c>
      <c r="B101" s="10" t="s">
        <v>223</v>
      </c>
      <c r="C101" s="10" t="s">
        <v>206</v>
      </c>
      <c r="D101" s="13">
        <f>LEN(テーブル1[[#This Row],[シート名]])</f>
        <v>13</v>
      </c>
    </row>
    <row r="102" spans="1:4" x14ac:dyDescent="0.15">
      <c r="A102" s="12" t="s">
        <v>220</v>
      </c>
      <c r="B102" s="10" t="s">
        <v>207</v>
      </c>
      <c r="C102" s="10" t="s">
        <v>207</v>
      </c>
      <c r="D102" s="13">
        <f>LEN(テーブル1[[#This Row],[シート名]])</f>
        <v>13</v>
      </c>
    </row>
    <row r="103" spans="1:4" x14ac:dyDescent="0.15">
      <c r="A103" s="12" t="s">
        <v>184</v>
      </c>
      <c r="B103" s="10" t="s">
        <v>224</v>
      </c>
      <c r="C103" s="10" t="s">
        <v>208</v>
      </c>
      <c r="D103" s="13">
        <f>LEN(テーブル1[[#This Row],[シート名]])</f>
        <v>8</v>
      </c>
    </row>
    <row r="104" spans="1:4" x14ac:dyDescent="0.15">
      <c r="A104" s="11" t="s">
        <v>227</v>
      </c>
      <c r="B104" s="11" t="s">
        <v>269</v>
      </c>
      <c r="C104" s="11" t="s">
        <v>269</v>
      </c>
      <c r="D104" s="13">
        <f>LEN(テーブル1[[#This Row],[シート名]])</f>
        <v>15</v>
      </c>
    </row>
    <row r="105" spans="1:4" x14ac:dyDescent="0.15">
      <c r="A105" s="11" t="s">
        <v>228</v>
      </c>
      <c r="B105" s="11" t="s">
        <v>268</v>
      </c>
      <c r="C105" s="11" t="s">
        <v>268</v>
      </c>
      <c r="D105" s="13">
        <f>LEN(テーブル1[[#This Row],[シート名]])</f>
        <v>23</v>
      </c>
    </row>
    <row r="106" spans="1:4" x14ac:dyDescent="0.15">
      <c r="A106" s="11" t="s">
        <v>229</v>
      </c>
      <c r="B106" s="11" t="s">
        <v>270</v>
      </c>
      <c r="C106" s="11" t="s">
        <v>270</v>
      </c>
      <c r="D106" s="13">
        <f>LEN(テーブル1[[#This Row],[シート名]])</f>
        <v>15</v>
      </c>
    </row>
    <row r="107" spans="1:4" x14ac:dyDescent="0.15">
      <c r="A107" s="11" t="s">
        <v>230</v>
      </c>
      <c r="B107" s="11" t="s">
        <v>271</v>
      </c>
      <c r="C107" s="11" t="s">
        <v>271</v>
      </c>
      <c r="D107" s="13">
        <f>LEN(テーブル1[[#This Row],[シート名]])</f>
        <v>18</v>
      </c>
    </row>
    <row r="108" spans="1:4" x14ac:dyDescent="0.15">
      <c r="A108" s="11" t="s">
        <v>231</v>
      </c>
      <c r="B108" s="11" t="s">
        <v>272</v>
      </c>
      <c r="C108" s="11" t="s">
        <v>272</v>
      </c>
      <c r="D108" s="13">
        <f>LEN(テーブル1[[#This Row],[シート名]])</f>
        <v>15</v>
      </c>
    </row>
    <row r="109" spans="1:4" x14ac:dyDescent="0.15">
      <c r="A109" s="11" t="s">
        <v>232</v>
      </c>
      <c r="B109" s="11" t="s">
        <v>273</v>
      </c>
      <c r="C109" s="11" t="s">
        <v>273</v>
      </c>
      <c r="D109" s="13">
        <f>LEN(テーブル1[[#This Row],[シート名]])</f>
        <v>18</v>
      </c>
    </row>
    <row r="110" spans="1:4" x14ac:dyDescent="0.15">
      <c r="A110" s="11" t="s">
        <v>233</v>
      </c>
      <c r="B110" s="11" t="s">
        <v>274</v>
      </c>
      <c r="C110" s="11" t="s">
        <v>274</v>
      </c>
      <c r="D110" s="13">
        <f>LEN(テーブル1[[#This Row],[シート名]])</f>
        <v>15</v>
      </c>
    </row>
    <row r="111" spans="1:4" x14ac:dyDescent="0.15">
      <c r="A111" s="11" t="s">
        <v>234</v>
      </c>
      <c r="B111" s="11" t="s">
        <v>275</v>
      </c>
      <c r="C111" s="11" t="s">
        <v>275</v>
      </c>
      <c r="D111" s="13">
        <f>LEN(テーブル1[[#This Row],[シート名]])</f>
        <v>14</v>
      </c>
    </row>
    <row r="112" spans="1:4" x14ac:dyDescent="0.15">
      <c r="A112" s="11" t="s">
        <v>235</v>
      </c>
      <c r="B112" s="11" t="s">
        <v>276</v>
      </c>
      <c r="C112" s="11" t="s">
        <v>276</v>
      </c>
      <c r="D112" s="13">
        <f>LEN(テーブル1[[#This Row],[シート名]])</f>
        <v>13</v>
      </c>
    </row>
    <row r="113" spans="1:4" x14ac:dyDescent="0.15">
      <c r="A113" s="11" t="s">
        <v>236</v>
      </c>
      <c r="B113" s="11" t="s">
        <v>277</v>
      </c>
      <c r="C113" s="11" t="s">
        <v>277</v>
      </c>
      <c r="D113" s="13">
        <f>LEN(テーブル1[[#This Row],[シート名]])</f>
        <v>15</v>
      </c>
    </row>
    <row r="114" spans="1:4" x14ac:dyDescent="0.15">
      <c r="A114" s="11" t="s">
        <v>237</v>
      </c>
      <c r="B114" s="11" t="s">
        <v>267</v>
      </c>
      <c r="C114" s="11" t="s">
        <v>267</v>
      </c>
      <c r="D114" s="13">
        <f>LEN(テーブル1[[#This Row],[シート名]])</f>
        <v>15</v>
      </c>
    </row>
    <row r="115" spans="1:4" x14ac:dyDescent="0.15">
      <c r="A115" s="11" t="s">
        <v>238</v>
      </c>
      <c r="B115" s="11" t="s">
        <v>266</v>
      </c>
      <c r="C115" s="11" t="s">
        <v>266</v>
      </c>
      <c r="D115" s="13">
        <f>LEN(テーブル1[[#This Row],[シート名]])</f>
        <v>15</v>
      </c>
    </row>
    <row r="116" spans="1:4" x14ac:dyDescent="0.15">
      <c r="A116" s="11" t="s">
        <v>239</v>
      </c>
      <c r="B116" s="11" t="s">
        <v>265</v>
      </c>
      <c r="C116" s="11" t="s">
        <v>265</v>
      </c>
      <c r="D116" s="13">
        <f>LEN(テーブル1[[#This Row],[シート名]])</f>
        <v>15</v>
      </c>
    </row>
    <row r="117" spans="1:4" x14ac:dyDescent="0.15">
      <c r="A117" s="11" t="s">
        <v>240</v>
      </c>
      <c r="B117" s="11" t="s">
        <v>264</v>
      </c>
      <c r="C117" s="11" t="s">
        <v>264</v>
      </c>
      <c r="D117" s="13">
        <f>LEN(テーブル1[[#This Row],[シート名]])</f>
        <v>15</v>
      </c>
    </row>
    <row r="118" spans="1:4" x14ac:dyDescent="0.15">
      <c r="A118" s="11" t="s">
        <v>241</v>
      </c>
      <c r="B118" s="11" t="s">
        <v>263</v>
      </c>
      <c r="C118" s="11" t="s">
        <v>263</v>
      </c>
      <c r="D118" s="13">
        <f>LEN(テーブル1[[#This Row],[シート名]])</f>
        <v>17</v>
      </c>
    </row>
    <row r="119" spans="1:4" x14ac:dyDescent="0.15">
      <c r="A119" s="11" t="s">
        <v>242</v>
      </c>
      <c r="B119" s="11" t="s">
        <v>262</v>
      </c>
      <c r="C119" s="11" t="s">
        <v>262</v>
      </c>
      <c r="D119" s="13">
        <f>LEN(テーブル1[[#This Row],[シート名]])</f>
        <v>17</v>
      </c>
    </row>
    <row r="120" spans="1:4" x14ac:dyDescent="0.15">
      <c r="A120" s="11" t="s">
        <v>243</v>
      </c>
      <c r="B120" s="11" t="s">
        <v>261</v>
      </c>
      <c r="C120" s="11" t="s">
        <v>261</v>
      </c>
      <c r="D120" s="13">
        <f>LEN(テーブル1[[#This Row],[シート名]])</f>
        <v>7</v>
      </c>
    </row>
    <row r="121" spans="1:4" x14ac:dyDescent="0.15">
      <c r="A121" s="11" t="s">
        <v>244</v>
      </c>
      <c r="B121" s="11" t="s">
        <v>260</v>
      </c>
      <c r="C121" s="11" t="s">
        <v>260</v>
      </c>
      <c r="D121" s="15">
        <f>LEN(テーブル1[[#This Row],[シート名]])</f>
        <v>5</v>
      </c>
    </row>
    <row r="122" spans="1:4" x14ac:dyDescent="0.15">
      <c r="A122" s="11" t="s">
        <v>245</v>
      </c>
      <c r="B122" s="11" t="s">
        <v>259</v>
      </c>
      <c r="C122" s="11" t="s">
        <v>259</v>
      </c>
      <c r="D122" s="16">
        <f>LEN(テーブル1[[#This Row],[シート名]])</f>
        <v>17</v>
      </c>
    </row>
    <row r="123" spans="1:4" ht="27" x14ac:dyDescent="0.15">
      <c r="A123" s="11" t="s">
        <v>252</v>
      </c>
      <c r="B123" s="11" t="s">
        <v>258</v>
      </c>
      <c r="C123" s="11" t="s">
        <v>258</v>
      </c>
      <c r="D123" s="16">
        <f>LEN(テーブル1[[#This Row],[シート名]])</f>
        <v>18</v>
      </c>
    </row>
    <row r="124" spans="1:4" x14ac:dyDescent="0.15">
      <c r="A124" s="11" t="s">
        <v>246</v>
      </c>
      <c r="B124" s="11" t="s">
        <v>257</v>
      </c>
      <c r="C124" s="11" t="s">
        <v>257</v>
      </c>
      <c r="D124" s="16">
        <f>LEN(テーブル1[[#This Row],[シート名]])</f>
        <v>12</v>
      </c>
    </row>
    <row r="125" spans="1:4" x14ac:dyDescent="0.15">
      <c r="A125" s="11" t="s">
        <v>247</v>
      </c>
      <c r="B125" s="11" t="s">
        <v>254</v>
      </c>
      <c r="C125" s="11" t="s">
        <v>254</v>
      </c>
      <c r="D125" s="16">
        <f>LEN(テーブル1[[#This Row],[シート名]])</f>
        <v>12</v>
      </c>
    </row>
    <row r="126" spans="1:4" x14ac:dyDescent="0.15">
      <c r="A126" s="11" t="s">
        <v>248</v>
      </c>
      <c r="B126" s="11" t="s">
        <v>253</v>
      </c>
      <c r="C126" s="11" t="s">
        <v>253</v>
      </c>
      <c r="D126" s="16">
        <f>LEN(テーブル1[[#This Row],[シート名]])</f>
        <v>15</v>
      </c>
    </row>
    <row r="127" spans="1:4" x14ac:dyDescent="0.15">
      <c r="A127" s="11" t="s">
        <v>249</v>
      </c>
      <c r="B127" s="11" t="s">
        <v>255</v>
      </c>
      <c r="C127" s="11" t="s">
        <v>255</v>
      </c>
      <c r="D127" s="16">
        <f>LEN(テーブル1[[#This Row],[シート名]])</f>
        <v>12</v>
      </c>
    </row>
    <row r="128" spans="1:4" x14ac:dyDescent="0.15">
      <c r="A128" s="11" t="s">
        <v>250</v>
      </c>
      <c r="B128" s="11" t="s">
        <v>256</v>
      </c>
      <c r="C128" s="11" t="s">
        <v>256</v>
      </c>
      <c r="D128" s="16">
        <f>LEN(テーブル1[[#This Row],[シート名]])</f>
        <v>15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生産 (移行元)</vt:lpstr>
      <vt:lpstr>設備 (移行元)</vt:lpstr>
      <vt:lpstr>全移行対象データ(移行元)</vt:lpstr>
      <vt:lpstr>コード変換マスタ</vt:lpstr>
      <vt:lpstr>移行元全変換マスタ</vt:lpstr>
      <vt:lpstr>テーブル一覧（移行先）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maxz</dc:creator>
  <cp:lastModifiedBy>RICOH JAPAN Corporation</cp:lastModifiedBy>
  <dcterms:created xsi:type="dcterms:W3CDTF">2015-11-30T04:25:23Z</dcterms:created>
  <dcterms:modified xsi:type="dcterms:W3CDTF">2016-03-01T07:55:28Z</dcterms:modified>
</cp:coreProperties>
</file>