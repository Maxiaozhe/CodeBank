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REX\DataCheckTools\DataCheckTools\Template\"/>
    </mc:Choice>
  </mc:AlternateContent>
  <bookViews>
    <workbookView xWindow="0" yWindow="0" windowWidth="15360" windowHeight="7770"/>
  </bookViews>
  <sheets>
    <sheet name="目次" sheetId="9" r:id="rId1"/>
    <sheet name="生産 (移行先)" sheetId="5" state="hidden" r:id="rId2"/>
    <sheet name="設備 (移行先)" sheetId="6" state="hidden" r:id="rId3"/>
    <sheet name="生産" sheetId="1" state="hidden" r:id="rId4"/>
    <sheet name="設備" sheetId="3" state="hidden" r:id="rId5"/>
    <sheet name="テーブル一覧" sheetId="8" state="hidden" r:id="rId6"/>
    <sheet name="テーブル一覧2" sheetId="2" state="hidden" r:id="rId7"/>
    <sheet name="旧テーブル一覧" sheetId="4" state="hidden" r:id="rId8"/>
    <sheet name="Template" sheetId="7" state="hidden" r:id="rId9"/>
    <sheet name="設定" sheetId="10" state="hidden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8" i="3" l="1"/>
  <c r="E48" i="3" l="1"/>
  <c r="A48" i="3"/>
  <c r="C47" i="3"/>
  <c r="E47" i="3" s="1"/>
  <c r="A47" i="3"/>
  <c r="C46" i="3"/>
  <c r="E46" i="3" s="1"/>
  <c r="A46" i="3"/>
  <c r="C45" i="3"/>
  <c r="E45" i="3" s="1"/>
  <c r="A45" i="3"/>
  <c r="C44" i="3"/>
  <c r="E44" i="3" s="1"/>
  <c r="A44" i="3"/>
  <c r="C43" i="3"/>
  <c r="E43" i="3" s="1"/>
  <c r="A43" i="3"/>
  <c r="C42" i="3"/>
  <c r="E42" i="3" s="1"/>
  <c r="A42" i="3"/>
  <c r="C41" i="3"/>
  <c r="E41" i="3" s="1"/>
  <c r="A41" i="3"/>
  <c r="C40" i="3"/>
  <c r="E40" i="3" s="1"/>
  <c r="A40" i="3"/>
  <c r="C39" i="3"/>
  <c r="E39" i="3" s="1"/>
  <c r="A39" i="3"/>
  <c r="C38" i="3"/>
  <c r="E38" i="3" s="1"/>
  <c r="A38" i="3"/>
  <c r="C37" i="3"/>
  <c r="E37" i="3" s="1"/>
  <c r="A37" i="3"/>
  <c r="C36" i="3"/>
  <c r="E36" i="3" s="1"/>
  <c r="A36" i="3"/>
  <c r="C35" i="3"/>
  <c r="E35" i="3" s="1"/>
  <c r="A35" i="3"/>
  <c r="C34" i="3"/>
  <c r="E34" i="3" s="1"/>
  <c r="A34" i="3"/>
  <c r="C33" i="3"/>
  <c r="E33" i="3" s="1"/>
  <c r="A33" i="3"/>
  <c r="C83" i="1"/>
  <c r="E83" i="1" s="1"/>
  <c r="C82" i="1"/>
  <c r="C81" i="1"/>
  <c r="C80" i="1"/>
  <c r="E80" i="1" s="1"/>
  <c r="C79" i="1"/>
  <c r="E79" i="1" s="1"/>
  <c r="C78" i="1"/>
  <c r="C77" i="1"/>
  <c r="C76" i="1"/>
  <c r="C75" i="1"/>
  <c r="C74" i="1"/>
  <c r="C73" i="1"/>
  <c r="E73" i="1" s="1"/>
  <c r="C72" i="1"/>
  <c r="E72" i="1" s="1"/>
  <c r="C71" i="1"/>
  <c r="C70" i="1"/>
  <c r="C69" i="1"/>
  <c r="C68" i="1"/>
  <c r="E68" i="1" s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E39" i="1" s="1"/>
  <c r="C38" i="1"/>
  <c r="C37" i="1"/>
  <c r="E37" i="1" s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C32" i="3"/>
  <c r="C30" i="3"/>
  <c r="E30" i="3" s="1"/>
  <c r="C29" i="3"/>
  <c r="E29" i="3" s="1"/>
  <c r="C28" i="3"/>
  <c r="E28" i="3" s="1"/>
  <c r="C27" i="3"/>
  <c r="E27" i="3" s="1"/>
  <c r="C26" i="3"/>
  <c r="E26" i="3" s="1"/>
  <c r="C25" i="3"/>
  <c r="E25" i="3" s="1"/>
  <c r="C24" i="3"/>
  <c r="E24" i="3" s="1"/>
  <c r="C23" i="3"/>
  <c r="C22" i="3"/>
  <c r="E22" i="3" s="1"/>
  <c r="C21" i="3"/>
  <c r="E21" i="3" s="1"/>
  <c r="C20" i="3"/>
  <c r="E20" i="3" s="1"/>
  <c r="C19" i="3"/>
  <c r="E19" i="3" s="1"/>
  <c r="C18" i="3"/>
  <c r="E18" i="3" s="1"/>
  <c r="C17" i="3"/>
  <c r="E17" i="3" s="1"/>
  <c r="C16" i="3"/>
  <c r="E16" i="3" s="1"/>
  <c r="C15" i="3"/>
  <c r="C14" i="3"/>
  <c r="C13" i="3"/>
  <c r="C12" i="3"/>
  <c r="C3" i="3"/>
  <c r="C2" i="3"/>
  <c r="A31" i="3"/>
  <c r="C31" i="3"/>
  <c r="E31" i="3" s="1"/>
  <c r="A23" i="3"/>
  <c r="A24" i="3"/>
  <c r="A25" i="3"/>
  <c r="A26" i="3"/>
  <c r="A27" i="3"/>
  <c r="A28" i="3"/>
  <c r="A29" i="3"/>
  <c r="A30" i="3"/>
  <c r="E23" i="3"/>
  <c r="A18" i="3"/>
  <c r="A16" i="3"/>
  <c r="A17" i="3"/>
  <c r="A19" i="3"/>
  <c r="A20" i="3"/>
  <c r="A21" i="3"/>
  <c r="A22" i="3"/>
  <c r="A5" i="3"/>
  <c r="C5" i="3"/>
  <c r="E5" i="3" s="1"/>
  <c r="A6" i="3"/>
  <c r="C6" i="3"/>
  <c r="E6" i="3" s="1"/>
  <c r="A7" i="3"/>
  <c r="C7" i="3"/>
  <c r="E7" i="3" s="1"/>
  <c r="A8" i="3"/>
  <c r="C8" i="3"/>
  <c r="E8" i="3" s="1"/>
  <c r="A9" i="3"/>
  <c r="C9" i="3"/>
  <c r="E9" i="3" s="1"/>
  <c r="A10" i="3"/>
  <c r="C10" i="3"/>
  <c r="E10" i="3" s="1"/>
  <c r="A11" i="3"/>
  <c r="C11" i="3"/>
  <c r="E11" i="3" s="1"/>
  <c r="A83" i="1"/>
  <c r="A80" i="1"/>
  <c r="A82" i="1"/>
  <c r="E82" i="1"/>
  <c r="A79" i="1"/>
  <c r="A77" i="1"/>
  <c r="E77" i="1"/>
  <c r="A72" i="1"/>
  <c r="A71" i="1"/>
  <c r="E71" i="1"/>
  <c r="A73" i="1"/>
  <c r="A74" i="1"/>
  <c r="E74" i="1"/>
  <c r="A70" i="1"/>
  <c r="E70" i="1"/>
  <c r="A68" i="1"/>
  <c r="E54" i="1"/>
  <c r="A54" i="1"/>
  <c r="A39" i="1"/>
  <c r="A37" i="1"/>
  <c r="C4" i="3" l="1"/>
  <c r="E4" i="3" l="1"/>
  <c r="A4" i="3"/>
  <c r="C251" i="6" l="1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6" i="6"/>
  <c r="E6" i="6" s="1"/>
  <c r="A6" i="6"/>
  <c r="C5" i="6"/>
  <c r="E5" i="6" s="1"/>
  <c r="A5" i="6"/>
  <c r="C4" i="6"/>
  <c r="E4" i="6" s="1"/>
  <c r="A4" i="6"/>
  <c r="C3" i="6"/>
  <c r="E3" i="6" s="1"/>
  <c r="A3" i="6"/>
  <c r="C2" i="6"/>
  <c r="E2" i="6" s="1"/>
  <c r="A2" i="6"/>
  <c r="A3" i="5"/>
  <c r="C3" i="5"/>
  <c r="E3" i="5" s="1"/>
  <c r="A4" i="5"/>
  <c r="C4" i="5"/>
  <c r="E4" i="5" s="1"/>
  <c r="A5" i="5"/>
  <c r="C5" i="5"/>
  <c r="E5" i="5" s="1"/>
  <c r="A6" i="5"/>
  <c r="C6" i="5"/>
  <c r="E6" i="5" s="1"/>
  <c r="A7" i="5"/>
  <c r="C7" i="5"/>
  <c r="E7" i="5" s="1"/>
  <c r="A8" i="5"/>
  <c r="C8" i="5"/>
  <c r="E8" i="5" s="1"/>
  <c r="A9" i="5"/>
  <c r="C9" i="5"/>
  <c r="E9" i="5" s="1"/>
  <c r="A10" i="5"/>
  <c r="C10" i="5"/>
  <c r="E10" i="5" s="1"/>
  <c r="A11" i="5"/>
  <c r="C11" i="5"/>
  <c r="E11" i="5" s="1"/>
  <c r="C2" i="5"/>
  <c r="E2" i="5" s="1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A2" i="5"/>
  <c r="A57" i="1" l="1"/>
  <c r="E57" i="1"/>
  <c r="A58" i="1"/>
  <c r="E58" i="1"/>
  <c r="A59" i="1"/>
  <c r="E59" i="1"/>
  <c r="A60" i="1"/>
  <c r="E60" i="1"/>
  <c r="A61" i="1"/>
  <c r="E61" i="1"/>
  <c r="A62" i="1"/>
  <c r="E62" i="1"/>
  <c r="A63" i="1"/>
  <c r="E63" i="1"/>
  <c r="A31" i="1"/>
  <c r="E31" i="1"/>
  <c r="A32" i="1"/>
  <c r="E32" i="1"/>
  <c r="A33" i="1"/>
  <c r="E33" i="1"/>
  <c r="A34" i="1"/>
  <c r="E34" i="1"/>
  <c r="A35" i="1"/>
  <c r="E35" i="1"/>
  <c r="A36" i="1"/>
  <c r="E36" i="1"/>
  <c r="A38" i="1"/>
  <c r="E38" i="1"/>
  <c r="A40" i="1"/>
  <c r="E40" i="1"/>
  <c r="A41" i="1"/>
  <c r="E41" i="1"/>
  <c r="A42" i="1"/>
  <c r="E42" i="1"/>
  <c r="A43" i="1"/>
  <c r="E43" i="1"/>
  <c r="A44" i="1"/>
  <c r="E44" i="1"/>
  <c r="A45" i="1"/>
  <c r="E45" i="1"/>
  <c r="A46" i="1"/>
  <c r="E46" i="1"/>
  <c r="A47" i="1"/>
  <c r="E47" i="1"/>
  <c r="A48" i="1"/>
  <c r="E48" i="1"/>
  <c r="A49" i="1"/>
  <c r="E49" i="1"/>
  <c r="A50" i="1"/>
  <c r="E50" i="1"/>
  <c r="A51" i="1"/>
  <c r="E51" i="1"/>
  <c r="A52" i="1"/>
  <c r="E52" i="1"/>
  <c r="A53" i="1"/>
  <c r="E53" i="1"/>
  <c r="A55" i="1"/>
  <c r="E55" i="1"/>
  <c r="A56" i="1"/>
  <c r="E56" i="1"/>
  <c r="E30" i="1"/>
  <c r="A30" i="1"/>
  <c r="E29" i="1"/>
  <c r="A29" i="1"/>
  <c r="E28" i="1"/>
  <c r="A28" i="1"/>
  <c r="E27" i="1"/>
  <c r="A27" i="1"/>
  <c r="E26" i="1"/>
  <c r="A26" i="1"/>
  <c r="E24" i="1"/>
  <c r="A24" i="1"/>
  <c r="E23" i="1"/>
  <c r="A23" i="1"/>
  <c r="E22" i="1"/>
  <c r="A22" i="1"/>
  <c r="E21" i="1"/>
  <c r="A21" i="1"/>
  <c r="E19" i="1"/>
  <c r="A19" i="1"/>
  <c r="E17" i="1"/>
  <c r="A17" i="1"/>
  <c r="E16" i="1"/>
  <c r="A16" i="1"/>
  <c r="E14" i="1"/>
  <c r="A14" i="1"/>
  <c r="E13" i="1"/>
  <c r="A13" i="1"/>
  <c r="E12" i="1"/>
  <c r="A12" i="1"/>
  <c r="E11" i="1"/>
  <c r="A11" i="1"/>
  <c r="E10" i="1"/>
  <c r="A10" i="1"/>
  <c r="E8" i="1"/>
  <c r="A8" i="1"/>
  <c r="E7" i="1"/>
  <c r="A7" i="1"/>
  <c r="E5" i="1"/>
  <c r="A5" i="1"/>
  <c r="E4" i="1"/>
  <c r="A4" i="1"/>
  <c r="E3" i="1"/>
  <c r="A3" i="1"/>
  <c r="A6" i="1"/>
  <c r="A9" i="1"/>
  <c r="A15" i="1"/>
  <c r="A18" i="1"/>
  <c r="A20" i="1"/>
  <c r="A25" i="1"/>
  <c r="A64" i="1"/>
  <c r="A65" i="1"/>
  <c r="A66" i="1"/>
  <c r="A67" i="1"/>
  <c r="A69" i="1"/>
  <c r="A75" i="1"/>
  <c r="A76" i="1"/>
  <c r="A78" i="1"/>
  <c r="A81" i="1"/>
  <c r="A2" i="1"/>
  <c r="A15" i="3" l="1"/>
  <c r="A32" i="3"/>
  <c r="A2" i="3"/>
  <c r="A3" i="3"/>
  <c r="A12" i="3"/>
  <c r="A13" i="3"/>
  <c r="A14" i="3"/>
  <c r="E32" i="3"/>
  <c r="E15" i="3"/>
  <c r="E14" i="3"/>
  <c r="E13" i="3"/>
  <c r="E12" i="3"/>
  <c r="E3" i="3"/>
  <c r="E2" i="3"/>
  <c r="E6" i="1"/>
  <c r="E9" i="1"/>
  <c r="E15" i="1"/>
  <c r="E18" i="1"/>
  <c r="E20" i="1"/>
  <c r="E25" i="1"/>
  <c r="E64" i="1"/>
  <c r="E65" i="1"/>
  <c r="E66" i="1"/>
  <c r="E67" i="1"/>
  <c r="E69" i="1"/>
  <c r="E75" i="1"/>
  <c r="E76" i="1"/>
  <c r="E78" i="1"/>
  <c r="E81" i="1"/>
  <c r="E2" i="1"/>
</calcChain>
</file>

<file path=xl/sharedStrings.xml><?xml version="1.0" encoding="utf-8"?>
<sst xmlns="http://schemas.openxmlformats.org/spreadsheetml/2006/main" count="3167" uniqueCount="2881">
  <si>
    <t>テーブル名</t>
    <rPh sb="4" eb="5">
      <t>メイ</t>
    </rPh>
    <phoneticPr fontId="1"/>
  </si>
  <si>
    <t>物理名</t>
    <rPh sb="0" eb="2">
      <t>ブツリ</t>
    </rPh>
    <rPh sb="2" eb="3">
      <t>メイ</t>
    </rPh>
    <phoneticPr fontId="1"/>
  </si>
  <si>
    <t>シート名</t>
    <rPh sb="3" eb="4">
      <t>メイ</t>
    </rPh>
    <phoneticPr fontId="1"/>
  </si>
  <si>
    <t>カテゴリ</t>
  </si>
  <si>
    <t>カテゴリ</t>
    <phoneticPr fontId="1"/>
  </si>
  <si>
    <t>No</t>
    <phoneticPr fontId="1"/>
  </si>
  <si>
    <t>OPERATION_PLAN</t>
  </si>
  <si>
    <t>OPERATION_PLAN_OPERATE_ATTACHEDINFO</t>
  </si>
  <si>
    <t>OPERATION_RESULT_PRODUCT</t>
  </si>
  <si>
    <t>OPERATION_INSPECTION_PREPERFORMANCE_PLAN</t>
  </si>
  <si>
    <t>OPERATION_INSPECTION_PREPERFORMANCE_RESULT</t>
  </si>
  <si>
    <t>OPERATION_REPLACEMENT_PREPERFORMANCE_PLAN</t>
  </si>
  <si>
    <t>OPERATION_REPLACEMENT_PREPERFORMANCE_RESULT</t>
  </si>
  <si>
    <t>OPERATION_ANOMALY</t>
  </si>
  <si>
    <t>SOI_CATEGORY_QUALITY_ANOMALY</t>
  </si>
  <si>
    <t>SOI_LOCATION_PRODUCT</t>
  </si>
  <si>
    <t>SOI_PRODUCTION_TYPE_PRODUCTION_BASIC</t>
  </si>
  <si>
    <t>SOI_PROCESSGROUP_PROCESS</t>
  </si>
  <si>
    <t>【標準指示】工程－生産実績基本－生産パラメータ－標準値</t>
  </si>
  <si>
    <t>【標準指示】工程－生産実績基本－ロット管理－標準値</t>
  </si>
  <si>
    <t>SOI_LOCATION_OPERATE</t>
  </si>
  <si>
    <t>SOI_OPERATE_OPERATION_BASIC</t>
  </si>
  <si>
    <t>SOI_OPERATE_OPERATION_CAPACITY</t>
  </si>
  <si>
    <t>SOI_OPERATE_OPERATION_INSPECTION</t>
  </si>
  <si>
    <t>SOI_OPERATE_OPERATION_REPLACEMENT</t>
  </si>
  <si>
    <t>SOI_PRODUCT_QUALITY_ANOMALY</t>
  </si>
  <si>
    <t>SOI_PRODUCT_PRODUCTION_ANOMALY</t>
  </si>
  <si>
    <t>SOI_PRODUCTION_TYPE_QUALITY_ANOMALY</t>
  </si>
  <si>
    <t>SOI_PRODUCTION_TYPE_PRODUCTION_ANOMALY</t>
  </si>
  <si>
    <t>SOI_ANOMALY</t>
  </si>
  <si>
    <t>SOI_ANOMALY_TREAT_CATEGORY</t>
  </si>
  <si>
    <t>SOI_ANOMALY_OCCURRENCE_CAUSE_CATEGORY</t>
  </si>
  <si>
    <t>SOI_ANOMALY_OCCURRENCE_MEASURE_CATEGORY</t>
  </si>
  <si>
    <t>SOI_ANOMALY_SPILL_CAUSE_CATEGORY</t>
  </si>
  <si>
    <t>SOI_ANOMALY_SPILL_MEASURE_CATEGORY</t>
  </si>
  <si>
    <t>PRODUCT_MASTER</t>
  </si>
  <si>
    <t>PRODUCT＿MASTER_ATTACHEDINFO</t>
  </si>
  <si>
    <t>PRODUCTION_TYPE_MASTER</t>
  </si>
  <si>
    <t>PROCESS_MASTER</t>
  </si>
  <si>
    <t>PRODUCTION_BASIC_MASTER</t>
  </si>
  <si>
    <t>PRODUCTION_BASIC_PROCESS_MASTER</t>
  </si>
  <si>
    <t>PRODUCTION_BASIC_PROCESS_MASTER_PARAMETER</t>
  </si>
  <si>
    <t>PRODUCTION_BASIC_PROCESS_MASTER_LOT</t>
  </si>
  <si>
    <t>PRODUCTION_COMPONENTS_MASTER</t>
  </si>
  <si>
    <t>PRODUCTION_COMPONENTS_MASTER_ITEM</t>
  </si>
  <si>
    <t>PRODUCTION_WORK_MASTER</t>
  </si>
  <si>
    <t>PRODUCTION_WORK_MASTER_ITEM</t>
  </si>
  <si>
    <t>PRODUCTION_INSPECTION_MASTER</t>
  </si>
  <si>
    <t>PRODUCTION_INSPECTION_MASTER_ITEM</t>
  </si>
  <si>
    <t>PRODUCTION_MEASUREMENT_MASTER</t>
  </si>
  <si>
    <t>PRODUCTION_MEASUREMENT_MASTER_ITEM</t>
  </si>
  <si>
    <t>OPERATE_MASTER</t>
  </si>
  <si>
    <t>OPERATE_MASTER_ATTACHEDINFO</t>
  </si>
  <si>
    <t>OPERATION_BASIC_MASTER</t>
  </si>
  <si>
    <t>OPERATION_BASIC_MASTER_PARAMETER</t>
  </si>
  <si>
    <t>OPERATION_CAPACITY_MASTER</t>
  </si>
  <si>
    <t>OPERATION_CAPACITY_MASTER_ITEM</t>
  </si>
  <si>
    <t>OPERATION_INSPECTION_MASTER</t>
  </si>
  <si>
    <t>OPERATION_INSPECTION_MASTER_ITEM</t>
  </si>
  <si>
    <t>OPERATION_REPLACEMENT_MASTER</t>
  </si>
  <si>
    <t>OPERATION_REPLACEMENT_MASTER_ITEM</t>
  </si>
  <si>
    <t>ANOMALY_RANK_MASTER</t>
  </si>
  <si>
    <t>ANOMALY_RANK_MASTER_ITEM</t>
  </si>
  <si>
    <t>ANOMALY_RANK_ITEM_MASTER</t>
  </si>
  <si>
    <t>ANOMALY_LINEOUT_MASTER</t>
  </si>
  <si>
    <t>ANOMALY_LINEOUT_MASTER_ITEM</t>
  </si>
  <si>
    <t>ANOMALY_LINEOUT_ITEM_MASTER</t>
  </si>
  <si>
    <t>ANOMALY_SOMETHING_MASTER</t>
  </si>
  <si>
    <t>ANOMALY_SOMETHING_ITEM_MASTER</t>
  </si>
  <si>
    <t>ANOMALY_UNREPEAT_MASTER</t>
  </si>
  <si>
    <t>ANOMALY_UNREPEAT_MASTER_ITEM</t>
  </si>
  <si>
    <t>ANOMALY_UNREPEAT_ITEM_MASTER</t>
  </si>
  <si>
    <t>ANOMALY_DISCOVER_SECTION_MASTER</t>
  </si>
  <si>
    <t>ANOMALY_DISCOVER_SECTION_MASTER_ITEM</t>
  </si>
  <si>
    <t>ANOMALY_DISCOVER_SECTION_ITEM_MASTER</t>
  </si>
  <si>
    <t>ANOMALY_RESPONSIBLE_SECTION_MASTER</t>
  </si>
  <si>
    <t>ANOMALY_RESPONSIBLE_SECTION_MASTER_ITEM</t>
  </si>
  <si>
    <t>ANOMALY_RESPONSIBLE_SECTION_ITEM_MASTER</t>
  </si>
  <si>
    <t>ANOMALY_OCCURRENCE_SECTION_MASTER</t>
  </si>
  <si>
    <t>ANOMALY_OCCURRENCE_SECTION_MASTER_ITEM</t>
  </si>
  <si>
    <t>ANOMALY_OCCURRENCE_SECTION_ITEM_MASTER</t>
  </si>
  <si>
    <t>ANOMALY_CONFIRM_DECISION_MASTER</t>
  </si>
  <si>
    <t>ANOMALY_CONFIRM_DECISION_MASTER_ITEM</t>
  </si>
  <si>
    <t>ANOMALY_CONFIRM_DECISION_ITEM_MASTER</t>
  </si>
  <si>
    <t>ANOMALY_ANOMALY_MASTER</t>
  </si>
  <si>
    <t>ANOMALY_ANOMALY_MASTER_ITEM</t>
  </si>
  <si>
    <t>ANOMALY_CATEGORY_MASTER_ITEM</t>
  </si>
  <si>
    <t>ANOMALY_CATEGORY_ITEM_MASTER</t>
  </si>
  <si>
    <t>ANOMALY_PHENOMENON_MASTER</t>
  </si>
  <si>
    <t>ANOMALY_PHENOMENON_MASTER_ITEM</t>
  </si>
  <si>
    <t>ANOMALY_PHENOMENON_ITEM_MASTER</t>
  </si>
  <si>
    <t>ANOMALY_PART_MASTER</t>
  </si>
  <si>
    <t>ANOMALY_PART_MASTER_ITEM</t>
  </si>
  <si>
    <t>ANOMALY_PART_ITEM_MASTER</t>
  </si>
  <si>
    <t>ANOMALY_DETAIL_MASTER</t>
  </si>
  <si>
    <t>ANOMALY_DETAIL_MASTER_ITEM</t>
  </si>
  <si>
    <t>ANOMALY_DETAIL_ITEM_MASTER</t>
  </si>
  <si>
    <t>ANOMALY_TREAT_CATEGORY_MASTER</t>
  </si>
  <si>
    <t>ANOMALY_TREAT_CATEGORY_MASTER_ITEM</t>
  </si>
  <si>
    <t>ANOMALY_TREAT_CATEGORY_ITEM_MASTER</t>
  </si>
  <si>
    <t>ANOMALY_TREAT_WAY_MASTER</t>
  </si>
  <si>
    <t>ANOMALY_TREAT_WAY_MASTER_ITEM</t>
  </si>
  <si>
    <t>ANOMALY_TREAT_WAY_ITEM_MASTER</t>
  </si>
  <si>
    <t>ANOMALY_TREAT_CONTENT_MASTER_ITEM</t>
  </si>
  <si>
    <t>ANOMALY_TREAT_CONTENT_ITEM_MASTER</t>
  </si>
  <si>
    <t>ANOMALY_OCCURRENCE_CAUSE_CATEGORY_MASTER_ITEM</t>
  </si>
  <si>
    <t>ANOMALY_OCCURRENCE_CAUSE_CATEGORY_ITEM_MASTER</t>
  </si>
  <si>
    <t>ANOMALY_OCCURRENCE_CAUSE_CONTENT_MASTER</t>
  </si>
  <si>
    <t>ANOMALY_OCCURRENCE_CAUSE_CONTENT_MASTER_ITEM</t>
  </si>
  <si>
    <t>ANOMALY_OCCURRENCE_CAUSE_CONTENT_ITEM_MASTER</t>
  </si>
  <si>
    <t>ANOMALY_OCCURRENCE_MEASURE_CATEGORY_MASTER</t>
  </si>
  <si>
    <t>ANOMALY_OCCURRENCE_MEASURE_CATEGORY_MASTER_ITEM</t>
  </si>
  <si>
    <t>ANOMALY_OCCURRENCE_MEASURE_CATEGORY_ITEM_MASTER</t>
  </si>
  <si>
    <t>ANOMALY_OCCURRENCE_MEASURE_CONTENT_MASTER</t>
  </si>
  <si>
    <t>ANOMALY_OCCURRENCE_MEASURE_CONTENT_MASTER_ITEM</t>
  </si>
  <si>
    <t>ANOMALY_SPILL_CAUSE_CATEGORY_MASTER</t>
  </si>
  <si>
    <t>ANOMALY_SPILL_CAUSE_CATEGORY_MASTER_ITEM</t>
  </si>
  <si>
    <t>ANOMALY_SPILL_CAUSE_CATEGORY_ITEM_MASTER</t>
  </si>
  <si>
    <t>ANOMALY_SPILL_CAUSE_CONTENT_MASTER</t>
  </si>
  <si>
    <t>ANOMALY_SPILL_CAUSE_CONTENT_MASTER_ITEM</t>
  </si>
  <si>
    <t>ANOMALY_SPILL_CAUSE_CONTENT_ITEM_MASTER</t>
  </si>
  <si>
    <t>ANOMALY_SPILL_MEASURE_CATEGORY_MASTER_ITEM</t>
  </si>
  <si>
    <t>ANOMALY_SPILL_MEASURE_CATEGORY_ITEM_MASTER</t>
  </si>
  <si>
    <t>ANOMALY_SPILL_MEASURE_CONTENT_MASTER</t>
  </si>
  <si>
    <t>ANOMALY_SPILL_MEASURE_CONTENT_MASTER_ITEM</t>
  </si>
  <si>
    <t>ANOMALY_SPILL_MEASURE_CONTENT_ITEM_MASTER</t>
  </si>
  <si>
    <t>ANOMALY_CONFIRM_CONTENT_MASTER</t>
  </si>
  <si>
    <t>ANOMALY_CONFIRM_CONTENT_MASTER_ITEM</t>
  </si>
  <si>
    <t>ANOMALY_CONFIRM_CONTENT_ITEM_MASTER</t>
  </si>
  <si>
    <t>SCREEN_MASTER</t>
  </si>
  <si>
    <t>SCREEN_MASTER_TENANT</t>
  </si>
  <si>
    <t>SCREEN_MASTER_ENTERPRISE</t>
  </si>
  <si>
    <t>SCREEN_MASTER_CATEGORY</t>
  </si>
  <si>
    <t>SCREEN_MASTER_LOCATION</t>
  </si>
  <si>
    <t>CODE_MASTER</t>
  </si>
  <si>
    <t>事業</t>
  </si>
  <si>
    <t>拠点</t>
  </si>
  <si>
    <t>拠点選択</t>
  </si>
  <si>
    <t>品種選択</t>
  </si>
  <si>
    <t>生産種別選択</t>
  </si>
  <si>
    <t>生産計画</t>
  </si>
  <si>
    <t>生産計画－工程分類</t>
  </si>
  <si>
    <t>生産実績－状況</t>
  </si>
  <si>
    <t>生産実績－工程別実績</t>
  </si>
  <si>
    <t>品質異常・対応実績</t>
  </si>
  <si>
    <t>生産異常・対応実績</t>
  </si>
  <si>
    <t>【標準指示】カテゴリ－品質異常</t>
  </si>
  <si>
    <t>【標準指示】カテゴリ－生産異常</t>
  </si>
  <si>
    <t>【標準指示】拠点－品種</t>
  </si>
  <si>
    <t>【標準指示】品種－生産種別</t>
  </si>
  <si>
    <t>【標準指示】生産種別－生産実績基本</t>
  </si>
  <si>
    <t>【標準指示】生産種別－生産実績段取</t>
  </si>
  <si>
    <t>【標準指示】生産種別－工程分類</t>
  </si>
  <si>
    <t>【標準指示】工程分類－工程</t>
  </si>
  <si>
    <t>【標準指示】工程－生産実績基本</t>
  </si>
  <si>
    <t>【標準指示】工程－生産実績構成</t>
  </si>
  <si>
    <t>【標準指示】工程－生産実績作業</t>
  </si>
  <si>
    <t>【標準指示】工程－生産実績検査</t>
  </si>
  <si>
    <t>【標準指示】工程－生産実績測定</t>
  </si>
  <si>
    <t>【標準指示】拠点－品質異常</t>
  </si>
  <si>
    <t>【標準指示】拠点－生産異常</t>
  </si>
  <si>
    <t>【標準指示】品種－品質異常</t>
  </si>
  <si>
    <t>【標準指示】品種－生産異常</t>
  </si>
  <si>
    <t>【標準指示】生産種別－品質異常</t>
  </si>
  <si>
    <t>【標準指示】生産種別－生産異常</t>
  </si>
  <si>
    <t>【標準指示】異常区分</t>
  </si>
  <si>
    <t>【標準指示】処置分類</t>
  </si>
  <si>
    <t>【標準指示】発生原因分類</t>
  </si>
  <si>
    <t>【標準指示】発生対策分類</t>
  </si>
  <si>
    <t>【標準指示】流出原因分類</t>
  </si>
  <si>
    <t>【標準指示】流出対策分類</t>
  </si>
  <si>
    <t>品種マスタ</t>
  </si>
  <si>
    <t>品種マスタ－付属情報</t>
  </si>
  <si>
    <t>生産種別マスタ</t>
  </si>
  <si>
    <t>工程分類マスタ</t>
  </si>
  <si>
    <t>工程マスタ</t>
  </si>
  <si>
    <t>生産実績基本マスタ</t>
  </si>
  <si>
    <t>生産実績構成マスタ</t>
  </si>
  <si>
    <t>生産実績構成マスタ－項目</t>
  </si>
  <si>
    <t>生産実績作業マスタ</t>
  </si>
  <si>
    <t>生産実績作業マスタ－項目</t>
  </si>
  <si>
    <t>生産実績検査マスタ</t>
  </si>
  <si>
    <t>生産実績検査マスタ－項目</t>
  </si>
  <si>
    <t>生産実績測定マスタ</t>
  </si>
  <si>
    <t>生産実績測定マスタ－項目</t>
  </si>
  <si>
    <t>異常－異常ランクマスタ</t>
  </si>
  <si>
    <t>異常－異常ランクマスタ－項目</t>
  </si>
  <si>
    <t>異常－異常ランク項目マスタ</t>
  </si>
  <si>
    <t>異常－ライン落ちマスタ</t>
  </si>
  <si>
    <t>異常－ライン落ちマスタ－項目</t>
  </si>
  <si>
    <t>異常－ライン落ち項目マスタ</t>
  </si>
  <si>
    <t>異常－何変マスタ</t>
  </si>
  <si>
    <t>異常－何変マスタ－項目</t>
  </si>
  <si>
    <t>異常－何変項目マスタ</t>
  </si>
  <si>
    <t>異常－不再現マスタ</t>
  </si>
  <si>
    <t>異常－不再現マスタ－項目</t>
  </si>
  <si>
    <t>異常－不再現項目マスタ</t>
  </si>
  <si>
    <t>異常－発見区マスタ</t>
  </si>
  <si>
    <t>異常－発見区マスタ－項目</t>
  </si>
  <si>
    <t>異常－発生区項目マスタ</t>
  </si>
  <si>
    <t>異常－責任区マスタ</t>
  </si>
  <si>
    <t>異常－責任区マスタ－項目</t>
  </si>
  <si>
    <t>異常－責任区項目マスタ</t>
  </si>
  <si>
    <t>異常－発生区マスタ</t>
  </si>
  <si>
    <t>異常－発生区マスタ－項目</t>
  </si>
  <si>
    <t>異常－効果確認判定マスタ</t>
  </si>
  <si>
    <t>異常－効果確認判定マスタ－項目</t>
  </si>
  <si>
    <t>異常－効果確認判定項目マスタ</t>
  </si>
  <si>
    <t>異常－異常区分マスタ</t>
  </si>
  <si>
    <t>異常－異常区分マスタ－項目</t>
  </si>
  <si>
    <t>異常－異常区分項目マスタ</t>
  </si>
  <si>
    <t>異常－異常分類マスタ</t>
  </si>
  <si>
    <t>異常－異常分類マスタ－項目</t>
  </si>
  <si>
    <t>異常－異常分類項目マスタ</t>
  </si>
  <si>
    <t>異常－異常現象マスタ</t>
  </si>
  <si>
    <t>異常－異常現象マスタ－項目</t>
  </si>
  <si>
    <t>異常－異常現象項目マスタ</t>
  </si>
  <si>
    <t>異常－異常箇所マスタ</t>
  </si>
  <si>
    <t>異常－異常箇所マスタ－項目</t>
  </si>
  <si>
    <t>異常－異常箇所項目マスタ</t>
  </si>
  <si>
    <t>異常－異常内容マスタ</t>
  </si>
  <si>
    <t>異常－異常内容マスタ－項目</t>
  </si>
  <si>
    <t>異常－異常内容項目マスタ</t>
  </si>
  <si>
    <t>異常－処置分類マスタ</t>
  </si>
  <si>
    <t>異常－処置分類マスタ－項目</t>
  </si>
  <si>
    <t>異常－処置分類項目マスタ</t>
  </si>
  <si>
    <t>異常－処置方法マスタ</t>
  </si>
  <si>
    <t>異常－処置方法マスタ－項目</t>
  </si>
  <si>
    <t>異常－処置方法項目マスタ</t>
  </si>
  <si>
    <t>異常－処置内容マスタ</t>
  </si>
  <si>
    <t>異常－処置内容マスタ－項目</t>
  </si>
  <si>
    <t>異常－処置内容項目マスタ</t>
  </si>
  <si>
    <t>異常－発生原因分類マスタ</t>
  </si>
  <si>
    <t>異常－発生原因分類マスタ－項目</t>
  </si>
  <si>
    <t>異常－発生原因分類項目マスタ</t>
  </si>
  <si>
    <t>異常－発生原因内容マスタ</t>
  </si>
  <si>
    <t>異常－発生原因内容マスタ－項目</t>
  </si>
  <si>
    <t>異常－発生原因内容項目マスタ</t>
  </si>
  <si>
    <t>異常－発生対策分類マスタ</t>
  </si>
  <si>
    <t>異常－発生対策分類マスタ－項目</t>
  </si>
  <si>
    <t>異常－発生対策分類項目マスタ</t>
  </si>
  <si>
    <t>異常－発生対策内容マスタ</t>
  </si>
  <si>
    <t>異常－発生対策内容マスタ－項目</t>
  </si>
  <si>
    <t>異常－発生対策内容項目マスタ</t>
  </si>
  <si>
    <t>異常－流出原因分類マスタ</t>
  </si>
  <si>
    <t>異常－流出原因分類マスタ－項目</t>
  </si>
  <si>
    <t>異常－流出原因分類項目マスタ</t>
  </si>
  <si>
    <t>異常－流出原因内容マスタ</t>
  </si>
  <si>
    <t>異常－流出原因内容項目マスタ</t>
  </si>
  <si>
    <t>異常－流出対策分類マスタ</t>
  </si>
  <si>
    <t>異常－流出対策分類マスタ－項目</t>
  </si>
  <si>
    <t>異常－流出対策分類項目マスタ</t>
  </si>
  <si>
    <t>異常－流出対策内容マスタ</t>
  </si>
  <si>
    <t>異常－流出対策内容マスタ－項目</t>
  </si>
  <si>
    <t>異常－流出対策内容項目マスタ</t>
  </si>
  <si>
    <t>異常－効果確認内容マスタ</t>
  </si>
  <si>
    <t>異常－効果確認内容項目マスタ</t>
  </si>
  <si>
    <t>画面マスタ</t>
  </si>
  <si>
    <t>テナント別画面マスタ</t>
  </si>
  <si>
    <t>事業別画面マスタ</t>
  </si>
  <si>
    <t>カテゴリ別画面マスタ</t>
  </si>
  <si>
    <t>拠点別画面マスタ</t>
  </si>
  <si>
    <t>コードマスタ</t>
  </si>
  <si>
    <t>ログ</t>
  </si>
  <si>
    <t>図表マスタ</t>
  </si>
  <si>
    <t>ENTERPRISE</t>
  </si>
  <si>
    <t>CATEGORY</t>
  </si>
  <si>
    <t>LOCATION</t>
  </si>
  <si>
    <t>LOCATION_SELECT</t>
  </si>
  <si>
    <t>PRODUCT_SELECT</t>
  </si>
  <si>
    <t>PRODUCTION_TYPE_SELECT</t>
  </si>
  <si>
    <t>OPERATE_SELECT</t>
  </si>
  <si>
    <t>PRODUCTION_PLAN</t>
  </si>
  <si>
    <t>PRODUCTION_PLAN_PRODUCT_ATTACHEDINFO</t>
  </si>
  <si>
    <t>PRODUCTION_RESULT_MONITOR</t>
  </si>
  <si>
    <t>PRODUCTION_RESULT_SETUP</t>
  </si>
  <si>
    <t>PRODUCTION_RESULT_SETUP_ATTACHED_FILE</t>
  </si>
  <si>
    <t>PRODUCTION_RESULT_PROCESS</t>
  </si>
  <si>
    <t>OPERATION_PLAN_OPERATION_ANOMALY_CONFIRM_DECISION</t>
  </si>
  <si>
    <t>OPERATION_PLAN_OPERATION_ANOMALY_ANOMALY</t>
  </si>
  <si>
    <t>OPERATION_PLAN_OPERATION_ANOMALY_TREAT_CATEGORY</t>
  </si>
  <si>
    <t>OPERATION_PLAN_OPERATION_ANOMALY_OCCURRENCE_CAUSE_CATEGORY</t>
  </si>
  <si>
    <t>OPERATION_PLAN_OPERATION_ANOMALY_OCCURRENCE_MEASURE_CATEGORY</t>
  </si>
  <si>
    <t>OPERATION_PLAN_OPERATION_ANOMALY_SPILL_CAUSE_CATEGORY</t>
  </si>
  <si>
    <t>OPERATION_PLAN_OPERATION_ANOMALY_SPILL_MEASURE_CATEGORY</t>
  </si>
  <si>
    <t>OPERATION_PLAN_OPERATION_ANOMALY_CONFIRM_CONTENT</t>
  </si>
  <si>
    <t>OPERATION_RESULT_MONITOR</t>
  </si>
  <si>
    <t>QUALITY_ANOMALY</t>
  </si>
  <si>
    <t>PRODUCTION_ANOMALY</t>
  </si>
  <si>
    <t>SOI_CATEGORY_PRODUCTION_ANOMALY</t>
  </si>
  <si>
    <t>SOI_PRODUCT_PRODUCTION_TYPE</t>
  </si>
  <si>
    <t>SOI_LOCATION_QUALITY_ANOMALY</t>
  </si>
  <si>
    <t>SOI_LOCATION_PRODUCTION_ANOMALY</t>
  </si>
  <si>
    <t>SOI_LOCATION_OPERATION_ANOMALY</t>
  </si>
  <si>
    <t>SOI_OPERATE_OPERATION_ANOMALY</t>
  </si>
  <si>
    <t>PRODUCTION_BASIC_PROCESS_MASTER_HISTORY_OCCURRENCE_BREAKDOWN</t>
  </si>
  <si>
    <t>ANOMALY_SOMETHING_MASTER_ITEM</t>
  </si>
  <si>
    <t>ANOMALY_ANOMALY_ITEM_MASTER</t>
  </si>
  <si>
    <t>ANOMALY_CATEGORY_MASTER</t>
  </si>
  <si>
    <t>ANOMALY_TREAT_CONTENT_MASTER</t>
  </si>
  <si>
    <t>ANOMALY_OCCURRENCE_CAUSE_CATEGORY_MASTER</t>
  </si>
  <si>
    <t>ANOMALY_OCCURRENCE_MEASURE_CONTENT_ITEM_MASTER</t>
  </si>
  <si>
    <t>ANOMALY_SPILL_MEASURE_CATEGORY_MASTER</t>
  </si>
  <si>
    <t>LOG</t>
  </si>
  <si>
    <t>PRODUCTION_ANOMALY</t>
    <phoneticPr fontId="1"/>
  </si>
  <si>
    <t>PRODUCTION_RESULT_MONITOR</t>
    <phoneticPr fontId="1"/>
  </si>
  <si>
    <t>PRODUCTION_PLAN</t>
    <phoneticPr fontId="1"/>
  </si>
  <si>
    <t>テナント別ログ</t>
  </si>
  <si>
    <t>PRODUCTION_PLAN_PRODUCTION_ANOMALY</t>
  </si>
  <si>
    <t>生産計画－生産異常</t>
  </si>
  <si>
    <t>PRODUCTION_PLAN_PRODUCTION_ANOMALY_CONFIRM_DECISION</t>
  </si>
  <si>
    <t>PRODUCTION_PLAN_PRODUCTION_ANOMALY_ANOMALY</t>
  </si>
  <si>
    <t>PRODUCTION_PLAN_PRODUCTION_ANOMALY_TREAT_CATEGORY</t>
  </si>
  <si>
    <t>PRODUCTION_PLAN_PRODUCTION_ANOMALY_OCCURRENCE_CAUSE_CATEGORY</t>
  </si>
  <si>
    <t>PRODUCTION_PLAN_PRODUCTION_ANOMALY_OCCURRENCE_MEASURE_CATEGORY</t>
  </si>
  <si>
    <t>PRODUCTION_PLAN_PRODUCTION_ANOMALY_SPILL_CAUSE_CATEGORY</t>
  </si>
  <si>
    <t>PRODUCTION_PLAN_PRODUCTION_ANOMALY_SPILL_MEASURE_CATEGORY</t>
  </si>
  <si>
    <t>PRODUCTION_PLAN_PRODUCTION_ANOMALY_CONFIRM_CONTENT</t>
  </si>
  <si>
    <t>PRODUCTION_PLAN_QUALITY_ANOMALY</t>
  </si>
  <si>
    <t>PRODUCTION_PLAN_QUALITY_ANOMALY_CONFIRM_DECISION</t>
  </si>
  <si>
    <t>PRODUCTION_PLAN_QUALITY_ANOMALY_ANOMALY</t>
  </si>
  <si>
    <t>PRODUCTION_PLAN_QUALITY_ANOMALY_TREAT_CATEGORY</t>
  </si>
  <si>
    <t>PRODUCTION_PLAN_QUALITY_ANOMALY_OCCURRENCE_CAUSE_CATEGORY</t>
  </si>
  <si>
    <t>PRODUCTION_PLAN_QUALITY_ANOMALY_OCCURRENCE_MEASURE_CATEGORY</t>
  </si>
  <si>
    <t>PRODUCTION_PLAN_QUALITY_ANOMALY_SPILL_CAUSE_CATEGORY</t>
  </si>
  <si>
    <t>PRODUCTION_PLAN_QUALITY_ANOMALY_SPILL_MEASURE_CATEGORY</t>
  </si>
  <si>
    <t>PRODUCTION_PLAN_QUALITY_ANOMALY_CONFIRM_CONTENT</t>
  </si>
  <si>
    <t>生産計画－品質異常</t>
  </si>
  <si>
    <t>QUALITY_ANOMALY</t>
    <phoneticPr fontId="1"/>
  </si>
  <si>
    <t>稼動計画</t>
  </si>
  <si>
    <t>稼動実績－品種別実績</t>
  </si>
  <si>
    <t>稼動点検予実績－計画</t>
  </si>
  <si>
    <t>稼動点検予実績－実績</t>
  </si>
  <si>
    <t>稼動交換予実績－計画</t>
  </si>
  <si>
    <t>稼動交換予実績－実績</t>
  </si>
  <si>
    <t>稼動異常・対応実績</t>
  </si>
  <si>
    <t>【標準指示】拠点－稼動</t>
  </si>
  <si>
    <t>【標準指示】稼動－稼動実績基本</t>
  </si>
  <si>
    <t>【標準指示】稼動－稼動実績基本－稼動パラメータ－標準値</t>
  </si>
  <si>
    <t>【標準指示】稼動－稼動実績能力</t>
  </si>
  <si>
    <t>【標準指示】稼動－稼動実績点検</t>
  </si>
  <si>
    <t>【標準指示】稼動－稼動実績交換</t>
  </si>
  <si>
    <t>【標準指示】拠点－稼動異常</t>
  </si>
  <si>
    <t>【標準指示】稼動－稼動異常</t>
  </si>
  <si>
    <t>稼動マスタ</t>
  </si>
  <si>
    <t>稼動マスタ－付属情報</t>
  </si>
  <si>
    <t>稼動実績基本マスタ</t>
  </si>
  <si>
    <t>稼動実績能力マスタ</t>
  </si>
  <si>
    <t>稼動実績能力マスタ－項目</t>
  </si>
  <si>
    <t>稼動実績点検マスタ</t>
  </si>
  <si>
    <t>稼動実績点検マスタ－項目</t>
  </si>
  <si>
    <t>稼動実績交換マスタ</t>
  </si>
  <si>
    <t>稼動実績交換マスタ－項目</t>
  </si>
  <si>
    <t>稼動実績基本マスタ－稼動パラメータ</t>
  </si>
  <si>
    <t>TableName</t>
    <phoneticPr fontId="1"/>
  </si>
  <si>
    <t>TableName</t>
    <phoneticPr fontId="1"/>
  </si>
  <si>
    <t>DisplayName</t>
    <phoneticPr fontId="1"/>
  </si>
  <si>
    <t>T_TraceabilitySchedule</t>
  </si>
  <si>
    <t>T_ProductionResult</t>
  </si>
  <si>
    <t>T_ProductionResultManufacturesInventory</t>
  </si>
  <si>
    <t>T_ProductionResultProcessInventory</t>
  </si>
  <si>
    <t>T_ErrorHandlingResult</t>
  </si>
  <si>
    <t>T_ProductionResultConstractiveInventory</t>
  </si>
  <si>
    <t>T_CheckResult</t>
  </si>
  <si>
    <t>T_MeasuredResult</t>
  </si>
  <si>
    <t>T_FacilityOperationResultInventory</t>
  </si>
  <si>
    <t>T_FacilityCheckResult</t>
  </si>
  <si>
    <t>トレーサビリティ計画</t>
  </si>
  <si>
    <t>生産実績</t>
  </si>
  <si>
    <t>生産実績製品明細</t>
  </si>
  <si>
    <t>生産実績工程明細</t>
  </si>
  <si>
    <t>異常・対応実績</t>
  </si>
  <si>
    <t>生産実績構成明細</t>
  </si>
  <si>
    <t>T_TraceabilityResult</t>
    <phoneticPr fontId="1"/>
  </si>
  <si>
    <t>トレーサビリティ実績</t>
  </si>
  <si>
    <t>設備稼働実績</t>
  </si>
  <si>
    <t>設備点検実績</t>
  </si>
  <si>
    <t>生産実績</t>
    <phoneticPr fontId="1"/>
  </si>
  <si>
    <t>稼働(設備)計画</t>
    <phoneticPr fontId="1"/>
  </si>
  <si>
    <t>T_FacilityOperationResult</t>
    <phoneticPr fontId="1"/>
  </si>
  <si>
    <t xml:space="preserve">稼働(設備)実績 </t>
  </si>
  <si>
    <t>T_FacilityCapabilityInventory</t>
  </si>
  <si>
    <t>T_FacilityCapabilityInventory</t>
    <phoneticPr fontId="1"/>
  </si>
  <si>
    <t>設備能力明細</t>
  </si>
  <si>
    <t>システム</t>
  </si>
  <si>
    <t>テナント</t>
  </si>
  <si>
    <t>アドオン</t>
  </si>
  <si>
    <t>事業－アクセス制限</t>
  </si>
  <si>
    <t>ユーザー－ロール</t>
  </si>
  <si>
    <t>担当者</t>
  </si>
  <si>
    <t>担当者－ロール</t>
  </si>
  <si>
    <t>担当者－前回状態</t>
  </si>
  <si>
    <t>担当者－機能別選択条件</t>
  </si>
  <si>
    <t>ロール</t>
  </si>
  <si>
    <t>カテゴリ－アクセス制限</t>
  </si>
  <si>
    <t>拠点表示階層</t>
  </si>
  <si>
    <t>拠点－アクセス制限</t>
  </si>
  <si>
    <t>品種表示階層</t>
  </si>
  <si>
    <t>生産種別表示階層</t>
  </si>
  <si>
    <t>稼動選択</t>
  </si>
  <si>
    <t>稼動表示階層</t>
  </si>
  <si>
    <t>生産計画－アクセス制限</t>
  </si>
  <si>
    <t>生産計画－稼動側識別名</t>
  </si>
  <si>
    <t>生産計画－品種付属情報</t>
  </si>
  <si>
    <t>生産計画－生産実績計画</t>
  </si>
  <si>
    <t>生産計画－生産実績計画－アクセス制限</t>
  </si>
  <si>
    <t>生産計画－生産実績計画－計画値</t>
  </si>
  <si>
    <t>生産計画－生産実績基本</t>
  </si>
  <si>
    <t>生産計画－生産実績基本－アクセス制限</t>
  </si>
  <si>
    <t>生産計画－生産実績基本－生産パラメータ</t>
  </si>
  <si>
    <t>生産計画－生産実績基本－生産パラメータ－アクセス制限</t>
  </si>
  <si>
    <t>生産計画－生産実績基本－生産パラメータ－稼動側識別名</t>
  </si>
  <si>
    <t>生産計画－生産実績基本－生産パラメータ－計画値</t>
  </si>
  <si>
    <t>生産計画－生産実績段取</t>
  </si>
  <si>
    <t>生産計画－生産実績段取－アクセス制限</t>
  </si>
  <si>
    <t>生産計画－生産実績段取－項目</t>
  </si>
  <si>
    <t>生産計画－生産実績段取－項目－アクセス制限</t>
  </si>
  <si>
    <t>生産計画－生産実績段取－項目－稼動側識別名</t>
  </si>
  <si>
    <t>生産計画－工程分類－アクセス制限</t>
  </si>
  <si>
    <t>生産計画－工程分類－稼動側識別名</t>
  </si>
  <si>
    <t>生産計画－工程分類－工程</t>
  </si>
  <si>
    <t>生産計画－工程分類－工程－アクセス制限</t>
  </si>
  <si>
    <t>生産計画－工程分類－工程－稼動側識別名</t>
  </si>
  <si>
    <t>生産計画－工程－生産実績計画</t>
  </si>
  <si>
    <t>生産計画－工程－生産実績計画－アクセス制限</t>
  </si>
  <si>
    <t>生産計画－工程－生産実績計画－計画値</t>
  </si>
  <si>
    <t>生産計画－工程－生産実績基本－アクセス制限</t>
  </si>
  <si>
    <t>生産計画－工程－生産実績基本－生産パラメータ</t>
  </si>
  <si>
    <t>生産計画－工程－生産実績基本－生産パラメータ－アクセス制限</t>
  </si>
  <si>
    <t>生産計画－工程－生産実績基本－生産パラメータ－稼動側識別名</t>
  </si>
  <si>
    <t>生産計画－工程－生産実績基本－生産パラメータ－計画値</t>
  </si>
  <si>
    <t>生産計画－工程－生産実績基本－工程履歴－発生内訳</t>
  </si>
  <si>
    <t>生産計画－工程－生産実績基本－工程履歴－発生内訳－稼動側識別名</t>
  </si>
  <si>
    <t>生産計画－工程－生産実績基本－ロット管理</t>
  </si>
  <si>
    <t>生産計画－工程－生産実績基本－ロット管理－アクセス制限</t>
  </si>
  <si>
    <t>生産計画－工程－生産実績基本－ロット管理－計画値</t>
  </si>
  <si>
    <t>生産計画－工程－生産実績構成</t>
  </si>
  <si>
    <t>生産計画－工程－生産実績構成－アクセス制限</t>
  </si>
  <si>
    <t>生産計画－工程－生産実績構成－項目</t>
  </si>
  <si>
    <t>生産計画－工程－生産実績構成－項目－アクセス制限</t>
  </si>
  <si>
    <t>生産計画－工程－生産実績構成－項目－稼動側識別名</t>
  </si>
  <si>
    <t>生産計画－工程－生産実績構成－項目－計画値</t>
  </si>
  <si>
    <t>生産計画－工程－生産実績作業</t>
  </si>
  <si>
    <t>生産計画－工程－生産実績作業－アクセス制限</t>
  </si>
  <si>
    <t>生産計画－工程－生産実績作業－項目</t>
  </si>
  <si>
    <t>生産計画－工程－生産実績作業－項目－アクセス制限</t>
  </si>
  <si>
    <t>生産計画－工程－生産実績作業－項目－稼動側識別名</t>
  </si>
  <si>
    <t>生産計画－工程－生産実績検査</t>
  </si>
  <si>
    <t>生産計画－工程－生産実績検査－アクセス制限</t>
  </si>
  <si>
    <t>生産計画－工程－生産実績検査－項目</t>
  </si>
  <si>
    <t>生産計画－工程－生産実績検査－項目－アクセス制限</t>
  </si>
  <si>
    <t>生産計画－工程－生産実績検査－項目－稼動側識別名</t>
  </si>
  <si>
    <t>生産計画－工程－生産実績検査－項目－計画値</t>
  </si>
  <si>
    <t>生産計画－工程－生産実績検査－項目－選択肢</t>
  </si>
  <si>
    <t>生産計画－工程－生産実績検査－項目－選択肢－稼動側識別名</t>
  </si>
  <si>
    <t>生産計画－工程－生産実績検査－項目－条件</t>
  </si>
  <si>
    <t>生産計画－工程－生産実績検査－項目－条件－アクセス制限</t>
  </si>
  <si>
    <t>生産計画－工程－生産実績検査－項目－条件－稼動側識別名</t>
  </si>
  <si>
    <t>生産計画－工程－生産実績検査－項目－条件－計画値</t>
  </si>
  <si>
    <t>生産計画－工程－生産実績測定</t>
  </si>
  <si>
    <t>生産計画－工程－生産実績測定－アクセス制限</t>
  </si>
  <si>
    <t>生産計画－工程－生産実績測定－項目</t>
  </si>
  <si>
    <t>生産計画－工程－生産実績測定－項目－アクセス制限</t>
  </si>
  <si>
    <t>生産計画－工程－生産実績測定－項目－稼動側識別名</t>
  </si>
  <si>
    <t>生産計画－工程－生産実績測定－項目－計画値</t>
  </si>
  <si>
    <t>生産計画－工程－生産実績測定－項目－条件</t>
  </si>
  <si>
    <t>生産計画－工程－生産実績測定－項目－条件－アクセス制限</t>
  </si>
  <si>
    <t>生産計画－工程－生産実績測定－項目－条件－稼動側識別名</t>
  </si>
  <si>
    <t>生産計画－工程－生産実績測定－項目－条件－計画値</t>
  </si>
  <si>
    <t>生産計画－品質異常－異常(区分)</t>
  </si>
  <si>
    <t>生産計画－品質異常－異常(ランク)</t>
  </si>
  <si>
    <t>生産計画－品質異常－異常(ライン落ち)</t>
  </si>
  <si>
    <t>生産計画－品質異常－異常(何変)</t>
  </si>
  <si>
    <t>生産計画－品質異常－異常(発見区)</t>
  </si>
  <si>
    <t>生産計画－品質異常－処置(分類)</t>
  </si>
  <si>
    <t>生産計画－品質異常－処置(不再現)</t>
  </si>
  <si>
    <t>生産計画－品質異常－発生原因(分類)</t>
  </si>
  <si>
    <t>生産計画－品質異常－発生原因(責任区)</t>
  </si>
  <si>
    <t>生産計画－品質異常－発生原因(発生区)</t>
  </si>
  <si>
    <t>生産計画－品質異常－発生対策(分類)</t>
  </si>
  <si>
    <t>生産計画－品質異常－流出原因(分類)</t>
  </si>
  <si>
    <t>生産計画－品質異常－流出原因(責任区)</t>
  </si>
  <si>
    <t>生産計画－品質異常－流出原因(発生区)</t>
  </si>
  <si>
    <t>生産計画－品質異常－流出対策(分類)</t>
  </si>
  <si>
    <t>生産計画－品質異常－効果確認(判定)</t>
  </si>
  <si>
    <t>生産計画－品質異常－効果確認(内容)</t>
  </si>
  <si>
    <t>生産計画－品質異常セット</t>
  </si>
  <si>
    <t>生産計画－生産異常－異常(区分)</t>
  </si>
  <si>
    <t>生産計画－生産異常－異常(ランク)</t>
  </si>
  <si>
    <t>生産計画－生産異常－異常(ライン落ち)</t>
  </si>
  <si>
    <t>生産計画－生産異常－異常(何変)</t>
  </si>
  <si>
    <t>生産計画－生産異常－異常(発見区)</t>
  </si>
  <si>
    <t>生産計画－生産異常－処置(分類)</t>
  </si>
  <si>
    <t>生産計画－生産異常－処置(不再現)</t>
  </si>
  <si>
    <t>生産計画－生産異常－発生原因(分類)</t>
  </si>
  <si>
    <t>生産計画－生産異常－発生原因(責任区)</t>
  </si>
  <si>
    <t>生産計画－生産異常－発生原因(発生区)</t>
  </si>
  <si>
    <t>生産計画－生産異常－発生対策(分類)</t>
  </si>
  <si>
    <t>生産計画－生産異常－流出原因(分類)</t>
  </si>
  <si>
    <t>生産計画－生産異常－流出原因(責任区)</t>
  </si>
  <si>
    <t>生産計画－生産異常－流出原因(発生区)</t>
  </si>
  <si>
    <t>生産計画－生産異常－流出対策(分類)</t>
  </si>
  <si>
    <t>生産計画－生産異常－効果確認(判定)</t>
  </si>
  <si>
    <t>生産計画－生産異常－効果確認(内容)</t>
  </si>
  <si>
    <t>生産計画－生産異常セット</t>
  </si>
  <si>
    <t>生産実績－生産実績段取</t>
  </si>
  <si>
    <t>生産実績－生産実績段取－添付</t>
  </si>
  <si>
    <t>生産明細－生産実績基本</t>
  </si>
  <si>
    <t>生産明細－生産実績基本－生産パラメータ</t>
  </si>
  <si>
    <t>生産明細－工程－生産実績基本－生産パラメータ</t>
  </si>
  <si>
    <t>生産明細－工程－生産実績基本－工程履歴</t>
  </si>
  <si>
    <t>生産明細－工程－生産実績基本－工程履歴－発生内訳</t>
  </si>
  <si>
    <t>生産明細－工程－生産実績基本－ロット管理</t>
  </si>
  <si>
    <t>生産明細－工程－生産実績構成</t>
  </si>
  <si>
    <t>生産明細－工程－生産実績作業</t>
  </si>
  <si>
    <t>生産明細－工程－生産実績作業－添付</t>
  </si>
  <si>
    <t>生産明細－工程－生産実績検査</t>
  </si>
  <si>
    <t>生産明細－工程－生産実績検査－条件</t>
  </si>
  <si>
    <t>生産明細－工程－生産実績検査－添付</t>
  </si>
  <si>
    <t>生産明細－工程－生産実績測定</t>
  </si>
  <si>
    <t>生産明細－工程－生産実績測定－条件</t>
  </si>
  <si>
    <t>生産明細－工程－生産実績測定－添付</t>
  </si>
  <si>
    <t>品質異常・対応実績－添付</t>
  </si>
  <si>
    <t>生産異常・対応実績－添付</t>
  </si>
  <si>
    <t>既定実績</t>
  </si>
  <si>
    <t>既定実績－生産実績基本</t>
  </si>
  <si>
    <t>既定実績－生産実績基本－生産パラメータ</t>
  </si>
  <si>
    <t>既定実績－生産実績段取</t>
  </si>
  <si>
    <t>既定実績－工程</t>
  </si>
  <si>
    <t>既定実績－工程－生産実績基本－生産パラメータ</t>
  </si>
  <si>
    <t>既定実績－工程－生産実績基本－工程履歴</t>
  </si>
  <si>
    <t>既定実績－工程－生産実績基本－工程履歴－発生内訳</t>
  </si>
  <si>
    <t>既定実績－工程－生産実績基本－ロット管理</t>
  </si>
  <si>
    <t>既定実績－工程－生産実績構成</t>
  </si>
  <si>
    <t>既定実績－工程－生産実績作業</t>
  </si>
  <si>
    <t>既定実績－工程－生産実績検査</t>
  </si>
  <si>
    <t>既定実績－工程－生産実績検査－条件</t>
  </si>
  <si>
    <t>既定実績－工程－生産実績測定</t>
  </si>
  <si>
    <t>既定実績－工程－生産実績測定－条件</t>
  </si>
  <si>
    <t>【標準指示】拠点－品種－アクセス制限</t>
  </si>
  <si>
    <t>【標準指示】品種－生産種別－アクセス制限</t>
  </si>
  <si>
    <t>【標準指示】生産種別－生産実績計画</t>
  </si>
  <si>
    <t>【標準指示】生産種別－生産実績計画－アクセス制限</t>
  </si>
  <si>
    <t>【標準指示】生産種別－生産実績基本－アクセス制限</t>
  </si>
  <si>
    <t>【標準指示】生産種別－生産実績基本－生産パラメータ－標準値</t>
  </si>
  <si>
    <t>【標準指示】生産種別－生産実績段取－アクセス制限</t>
  </si>
  <si>
    <t>【標準指示】生産種別－生産実績段取－項目－アクセス制限</t>
  </si>
  <si>
    <t>【標準指示】工程分類－工程－アクセス制限</t>
  </si>
  <si>
    <t>【標準指示】工程－生産実績計画</t>
  </si>
  <si>
    <t>【標準指示】工程－生産実績計画－アクセス制限</t>
  </si>
  <si>
    <t>【標準指示】工程－生産実績計画－標準値</t>
  </si>
  <si>
    <t>【標準指示】工程－生産実績基本－アクセス制限</t>
  </si>
  <si>
    <t>【標準指示】工程－生産実績基本－生産パラメータ－アクセス制限</t>
  </si>
  <si>
    <t>【標準指示】工程－生産実績基本－ロット管理－アクセス制限</t>
  </si>
  <si>
    <t>【標準指示】工程－生産実績構成－アクセス制限</t>
  </si>
  <si>
    <t>【標準指示】工程－生産実績構成－項目－アクセス制限</t>
  </si>
  <si>
    <t>【標準指示】工程－生産実績構成－項目－標準値</t>
  </si>
  <si>
    <t>【標準指示】工程－生産実績作業－アクセス制限</t>
  </si>
  <si>
    <t>【標準指示】工程－生産実績作業－項目－アクセス制限</t>
  </si>
  <si>
    <t>【標準指示】工程－生産実績検査－項目－アクセス制限</t>
  </si>
  <si>
    <t>【標準指示】工程－生産実績検査－項目－標準値</t>
  </si>
  <si>
    <t>【標準指示】工程－生産実績検査－項目－条件－アクセス制限</t>
  </si>
  <si>
    <t>【標準指示】工程－生産実績検査－項目－条件－標準値</t>
  </si>
  <si>
    <t>【標準指示】工程－生産実績測定－アクセス制限</t>
  </si>
  <si>
    <t>【標準指示】工程－生産実績測定－項目－アクセス制限</t>
  </si>
  <si>
    <t>【標準指示】工程－生産実績測定－項目－標準値</t>
  </si>
  <si>
    <t>【標準指示】工程－生産実績測定－項目－条件－標準値</t>
  </si>
  <si>
    <t>品種マスタ－アクセス制限</t>
  </si>
  <si>
    <t>生産種別マスタ－アクセス制限</t>
  </si>
  <si>
    <t>工程分類マスタ－アクセス制限</t>
  </si>
  <si>
    <t>工程マスタ－アクセス制限</t>
  </si>
  <si>
    <t>生産実績計画マスタ</t>
  </si>
  <si>
    <t>生産実績計画マスタ－アクセス制限</t>
  </si>
  <si>
    <t>生産実績基本マスタ－アクセス制限</t>
  </si>
  <si>
    <t>生産実績基本マスタ－生産パラメータ</t>
  </si>
  <si>
    <t>生産実績基本マスタ－生産パラメータ－アクセス制限</t>
  </si>
  <si>
    <t>生産実績基本マスタ－生産パラメータ－標準値</t>
  </si>
  <si>
    <t>生産実績計画工程別マスタ</t>
  </si>
  <si>
    <t>生産実績計画工程別マスタ－アクセス制限</t>
  </si>
  <si>
    <t>生産実績計画工程別マスタ－標準値</t>
  </si>
  <si>
    <t>生産実績基本工程別マスタ</t>
  </si>
  <si>
    <t>生産実績基本工程別マスタ－アクセス制限</t>
  </si>
  <si>
    <t>生産実績基本工程別マスタ－生産パラメータ</t>
  </si>
  <si>
    <t>生産実績基本工程別マスタ－生産パラメータ－アクセス制限</t>
  </si>
  <si>
    <t>生産実績基本工程別マスタ－生産パラメータ－標準値</t>
  </si>
  <si>
    <t>生産実績基本工程別マスタ－工程履歴－発生内訳</t>
  </si>
  <si>
    <t>生産実績基本工程別マスタ－ロット管理</t>
  </si>
  <si>
    <t>生産実績基本工程別マスタ－ロット管理－アクセス制限</t>
  </si>
  <si>
    <t>生産実績基本工程別マスタ－ロット管理－標準値</t>
  </si>
  <si>
    <t>生産実績構成マスタ－アクセス制限</t>
  </si>
  <si>
    <t>生産実績構成マスタ－項目－アクセス制限</t>
  </si>
  <si>
    <t>生産実績構成マスタ－項目－標準値</t>
  </si>
  <si>
    <t>生産実績作業マスタ－アクセス制限</t>
  </si>
  <si>
    <t>生産実績作業マスタ－項目－アクセス制限</t>
  </si>
  <si>
    <t>生産実績検査マスタ－アクセス制限</t>
  </si>
  <si>
    <t>生産実績検査マスタ－項目－アクセス制限</t>
  </si>
  <si>
    <t>生産実績検査マスタ－項目－選択肢</t>
  </si>
  <si>
    <t>生産実績検査マスタ－項目－標準値</t>
  </si>
  <si>
    <t>生産実績検査マスタ－項目－条件</t>
  </si>
  <si>
    <t>生産実績検査マスタ－項目－条件－アクセス制限</t>
  </si>
  <si>
    <t>生産実績検査マスタ－項目－条件－標準値</t>
  </si>
  <si>
    <t>生産実績測定マスタ－アクセス制限</t>
  </si>
  <si>
    <t>生産実績測定マスタ－項目－アクセス制限</t>
  </si>
  <si>
    <t>生産実績測定マスタ－項目－標準値</t>
  </si>
  <si>
    <t>生産実績測定マスタ－項目－条件</t>
  </si>
  <si>
    <t>生産実績測定マスタ－項目－条件－アクセス制限</t>
  </si>
  <si>
    <t>生産実績測定マスタ－項目－条件－標準値</t>
  </si>
  <si>
    <t>稼動計画－稼動実績基本－稼動パラメータ</t>
  </si>
  <si>
    <t>稼動計画－稼動実績基本－稼動パラメータ－計画値</t>
  </si>
  <si>
    <t>稼動計画－稼動実績能力</t>
  </si>
  <si>
    <t>稼動計画－稼動実績能力－項目</t>
  </si>
  <si>
    <t>稼動計画－稼動実績点検</t>
  </si>
  <si>
    <t>稼動計画－稼動実績点検－項目</t>
  </si>
  <si>
    <t>稼動計画－稼動実績交換</t>
  </si>
  <si>
    <t>稼動計画－稼動異常</t>
  </si>
  <si>
    <t>稼動計画－稼動異常－異常(区分)</t>
  </si>
  <si>
    <t>稼動計画－稼動異常－異常(ランク)</t>
  </si>
  <si>
    <t>稼動計画－稼動異常－異常(ライン落ち)</t>
  </si>
  <si>
    <t>稼動計画－稼動異常－異常(何変)</t>
  </si>
  <si>
    <t>稼動計画－稼動異常－異常(発見区)</t>
  </si>
  <si>
    <t>稼動計画－稼動異常－処置(分類)</t>
  </si>
  <si>
    <t>稼動計画－稼動異常－処置(不再現)</t>
  </si>
  <si>
    <t>稼動計画－稼動異常－発生原因(分類)</t>
  </si>
  <si>
    <t>稼動計画－稼動異常－発生原因(責任区)</t>
  </si>
  <si>
    <t>稼動計画－稼動異常－発生原因(発生区)</t>
  </si>
  <si>
    <t>稼動計画－稼動異常－発生対策(分類)</t>
  </si>
  <si>
    <t>稼動計画－稼動異常－流出原因(分類)</t>
  </si>
  <si>
    <t>稼動計画－稼動異常－流出原因(責任区)</t>
  </si>
  <si>
    <t>稼動計画－稼動異常－流出原因(発生区)</t>
  </si>
  <si>
    <t>稼動計画－稼動異常－流出対策(分類)</t>
  </si>
  <si>
    <t>稼動計画－稼動異常－効果確認(判定)</t>
  </si>
  <si>
    <t>稼動計画－稼動異常－効果確認(内容)</t>
  </si>
  <si>
    <t>稼動計画－稼動異常セット</t>
  </si>
  <si>
    <t>稼動実績－状況</t>
  </si>
  <si>
    <t>稼動実績－稼動実績能力</t>
  </si>
  <si>
    <t>稼動実績－品種別実績－サイクルタイム</t>
  </si>
  <si>
    <t>稼動明細－稼動実績基本</t>
  </si>
  <si>
    <t>稼動明細－稼動実績基本－稼動パラメータ</t>
  </si>
  <si>
    <t>稼動明細－稼動実績基本－稼動ステータス履歴</t>
  </si>
  <si>
    <t>稼動明細－稼動実績基本－稼働ステータス履歴－サイクルタイム</t>
  </si>
  <si>
    <t>稼動明細－稼動実績能力</t>
  </si>
  <si>
    <t>稼動明細－稼動実績点検</t>
  </si>
  <si>
    <t>稼動明細－稼動実績点検－添付</t>
  </si>
  <si>
    <t>稼動明細－稼動実績交換</t>
  </si>
  <si>
    <t>稼動明細－稼動実績交換－添付</t>
  </si>
  <si>
    <t>稼動異常・対応実績－添付</t>
  </si>
  <si>
    <t>【標準指示】拠点－稼動－アクセス制限</t>
  </si>
  <si>
    <t>【標準指示】稼動－稼動実績計画</t>
  </si>
  <si>
    <t>【標準指示】稼動－稼動実績基本－稼動パラメータ</t>
  </si>
  <si>
    <t>【標準指示】稼動－稼動実績能力－項目</t>
  </si>
  <si>
    <t>【標準指示】稼動－稼動実績点検－項目</t>
  </si>
  <si>
    <t>【標準指示】稼動－稼動実績交換－項目</t>
  </si>
  <si>
    <t>【標準指示】稼動－品種識別名</t>
  </si>
  <si>
    <t>【標準指示】稼動－生産実績基本－生産パラメータ識別名</t>
  </si>
  <si>
    <t>【標準指示】稼動－生産実績基本工程別－生産パラメータ識別名</t>
  </si>
  <si>
    <t>【標準指示】稼動－生産実績基本工程別－工程履歴－発生内訳識別名</t>
  </si>
  <si>
    <t>【標準指示】稼動－生産実績構成－項目識別名</t>
  </si>
  <si>
    <t>【標準指示】稼動－生産実績作業－項目識別名</t>
  </si>
  <si>
    <t>【標準指示】稼動－生産実績検査－項目識別名</t>
  </si>
  <si>
    <t>【標準指示】稼動－生産実績検査－選択肢識別名</t>
  </si>
  <si>
    <t>【標準指示】稼動－生産実績検査－条件識別名</t>
  </si>
  <si>
    <t>【標準指示】稼動－生産実績測定－項目識別名</t>
  </si>
  <si>
    <t>【標準指示】稼動－生産実績測定－条件識別名</t>
  </si>
  <si>
    <t>【標準指示】稼動－品質異常セット</t>
  </si>
  <si>
    <t>【標準指示】稼動－生産異常セット</t>
  </si>
  <si>
    <t>【標準指示】稼動－稼動異常セット</t>
  </si>
  <si>
    <t>稼動実績計画マスタ</t>
  </si>
  <si>
    <t>稼動実績基本マスタ－稼動パラメータ－標準値</t>
  </si>
  <si>
    <t>異常－流出原因内容マスタ－項目</t>
  </si>
  <si>
    <t>異常－効果確認内容マスタ－項目</t>
  </si>
  <si>
    <t>異常－発見区項目マスタ</t>
  </si>
  <si>
    <t>カレンダーマスタ</t>
  </si>
  <si>
    <t>カレンダーマスタ－シフト</t>
  </si>
  <si>
    <t>カレンダーマスタ－例外</t>
  </si>
  <si>
    <t>カレンダーマスタ－例外－シフト</t>
  </si>
  <si>
    <t>SYSTEM</t>
  </si>
  <si>
    <t>TENANT</t>
  </si>
  <si>
    <t>ADD_ONS</t>
  </si>
  <si>
    <t>ENTERPRISE_RESTRICTION</t>
  </si>
  <si>
    <t>USER</t>
  </si>
  <si>
    <t>USER_ROLE</t>
  </si>
  <si>
    <t>REPRESENTATIVE</t>
  </si>
  <si>
    <t>REPRESENTATIVE_ROLE</t>
  </si>
  <si>
    <t>REPRESENTATIVE_PREVIOUS_STATE</t>
  </si>
  <si>
    <t>REPRESENTATIVE_FUNCTION_SELECT_CONDITIONS</t>
  </si>
  <si>
    <t>ROLE</t>
  </si>
  <si>
    <t>CATEGORY_RESTRICTION</t>
  </si>
  <si>
    <t>LOCATION_DISPLAY_LEVEL</t>
  </si>
  <si>
    <t>LOCATION_RESTRICTION</t>
  </si>
  <si>
    <t>PRODUCT_DISPLAY_LEVEL</t>
  </si>
  <si>
    <t>PRODUCTION_TYPE_DISPLAY_LEVEL</t>
  </si>
  <si>
    <t>OPERATE_DISPLAY_LEVEL</t>
  </si>
  <si>
    <t>PRODUCTION_PLAN_RESTRICTION</t>
  </si>
  <si>
    <t>PRODUCTION_PLAN_OPERATE_CODE</t>
  </si>
  <si>
    <t>PRODUCTION_PLAN_PRODUCTION_PLAN_RESTRICTION</t>
  </si>
  <si>
    <t>PRODUCTION_PLAN_PRODUCTION_PLAN_PLANNED_VALUE</t>
  </si>
  <si>
    <t>PRODUCTION_PLAN_PRODUCTION_BASIC_RESTRICTION</t>
  </si>
  <si>
    <t>PRODUCTION_PLAN_PRODUCTION_BASIC_PARAMETER</t>
  </si>
  <si>
    <t>PRODUCTION_PLAN_PRODUCTION_BASIC_PARAMETER_RESTRICTION</t>
  </si>
  <si>
    <t>PRODUCTION_PLAN_PRODUCTION_BASIC_PARAMETER_OPERATE_CODE</t>
  </si>
  <si>
    <t>PRODUCTION_PLAN_PRODUCTION_BASIC_PARAMETER_PLANNED_VALUE</t>
  </si>
  <si>
    <t>PRODUCTION_PLAN_PRODUCTION_SETUP</t>
  </si>
  <si>
    <t>PRODUCTION_PLAN_PRODUCTION_SETUP_RESTRICTION</t>
  </si>
  <si>
    <t>PRODUCTION_PLAN_PRODUCTION_SETUP_ITEM</t>
  </si>
  <si>
    <t>PRODUCTION_PLAN_PRODUCTION_SETUP_ITEM_RESTRICTION</t>
  </si>
  <si>
    <t>PRODUCTION_PLAN_PRODUCTION_SETUP_ITEM_OPERATE_CODE</t>
  </si>
  <si>
    <t>PRODUCTION_PLAN_PROCESSGROUP</t>
  </si>
  <si>
    <t>PRODUCTION_PLAN_PROCESSGROUP_RESTRICTION</t>
  </si>
  <si>
    <t>PRODUCTION_PLAN_PROCESSGROUP_OPERATE_CODE</t>
  </si>
  <si>
    <t>PRODUCTION_PLAN_PROCESSGROUP_PROCESS</t>
  </si>
  <si>
    <t>PRODUCTION_PLAN_PROCESSGROUP_PROCESS_RESTRICTION</t>
  </si>
  <si>
    <t>PRODUCTION_PLAN_PROCESSGROUP_PROCESS_OPERATE_CODE</t>
  </si>
  <si>
    <t>PRODUCTION_PLAN_PROCESS_PRODUCTION_PLAN_RESTRICTION</t>
  </si>
  <si>
    <t>PRODUCTION_PLAN_PROCESS_PRODUCTION_PLAN_PLANNED_VALUE</t>
  </si>
  <si>
    <t>PRODUCTION_PLAN_PROCESS_PRODUCTION_BASIC_RESTRICTION</t>
  </si>
  <si>
    <t>PRODUCTION_PLAN_PROCESS_PRODUCTION_BASIC_PARAMETER</t>
  </si>
  <si>
    <t>PRODUCTION_PLAN_PROCESS_PRODUCTION_BASIC_PARAMETER_RESTRICTION</t>
  </si>
  <si>
    <t>PRODUCTION_PLAN_PROCESS_PRODUCTION_BASIC_PARAMETER_OPERATE_CODE</t>
  </si>
  <si>
    <t>PRODUCTION_PLAN_PROCESS_PRODUCTION_BASIC_PARAMETER_PLANNED_VALUE</t>
  </si>
  <si>
    <t>PRODUCTION_PLAN_PROCESS_PRODUCTION_BASIC_HISTORY_OCCURRENCE_BREAKDOWN</t>
  </si>
  <si>
    <t>PRODUCTION_PLAN_PROCESS_PRODUCTION_BASIC_HISTORY_OCCURRENCE_BREAKDOWN_OPERATE_CODE</t>
  </si>
  <si>
    <t>PRODUCTION_PLAN_PROCESS_PRODUCTION_BASIC_LOT</t>
  </si>
  <si>
    <t>PRODUCTION_PLAN_PROCESS_PRODUCTION_BASIC_LOT_RESTRICTION</t>
  </si>
  <si>
    <t>PRODUCTION_PLAN_PROCESS_PRODUCTION_BASIC_LOT_PLANNED_VALUE</t>
  </si>
  <si>
    <t>PRODUCTION_PLAN_PROCESS_PRODUCTION_COMPONENTS</t>
  </si>
  <si>
    <t>PRODUCTION_PLAN_PROCESS_PRODUCTION_COMPONENTS_RESTRICTION</t>
  </si>
  <si>
    <t>PRODUCTION_PLAN_PROCESS_PRODUCTION_COMPONENTS_ITEM</t>
  </si>
  <si>
    <t>PRODUCTION_PLAN_PROCESS_PRODUCTION_COMPONENTS_ITEM_RESTRICTION</t>
  </si>
  <si>
    <t>PRODUCTION_PLAN_PROCESS_PRODUCTION_COMPONENTS_ITEM_OPERATE_CODE</t>
  </si>
  <si>
    <t>PRODUCTION_PLAN_PROCESS_PRODUCTION_COMPONENTS_ITEM_PLANNED_VALUE</t>
  </si>
  <si>
    <t>PRODUCTION_PLAN_PROCESS_PRODUCTION_WORK</t>
  </si>
  <si>
    <t>PRODUCTION_PLAN_PROCESS_PRODUCTION_WORK_RESTRICTION</t>
  </si>
  <si>
    <t>PRODUCTION_PLAN_PROCESS_PRODUCTION_WORK_ITEM</t>
  </si>
  <si>
    <t>PRODUCTION_PLAN_PROCESS_PRODUCTION_WORK_ITEM_RESTRICTION</t>
  </si>
  <si>
    <t>PRODUCTION_PLAN_PROCESS_PRODUCTION_WORK_ITEM_OPERATE_CODE</t>
  </si>
  <si>
    <t>PRODUCTION_PLAN_PROCESS_PRODUCTION_INSPECTION</t>
  </si>
  <si>
    <t>PRODUCTION_PLAN_PROCESS_PRODUCTION_INSPECTION_RESTRICTION</t>
  </si>
  <si>
    <t>PRODUCTION_PLAN_PROCESS_PRODUCTION_INSPECTION_ITEM</t>
  </si>
  <si>
    <t>PRODUCTION_PLAN_PROCESS_PRODUCTION_INSPECTION_ITEM_RESTRICTION</t>
  </si>
  <si>
    <t>PRODUCTION_PLAN_PROCESS_PRODUCTION_INSPECTION_ITEM_OPERATE_CODE</t>
  </si>
  <si>
    <t>PRODUCTION_PLAN_PROCESS_PRODUCTION_INSPECTION_ITEM_PLANNED_VALUE</t>
  </si>
  <si>
    <t>PRODUCTION_PLAN_PROCESS_PRODUCTION_INSPECTION_ITEM_SELECT_LIST</t>
  </si>
  <si>
    <t>PRODUCTION_PLAN_PROCESS_PRODUCTION_INSPECTION_ITEM_SELECT_LIST_OPERATE_CODE</t>
  </si>
  <si>
    <t>PRODUCTION_PLAN_PROCESS_PRODUCTION_INSPECTION_ITEM_CONDITION</t>
  </si>
  <si>
    <t>PRODUCTION_PLAN_PROCESS_PRODUCTION_INSPECTION_ITEM_CONDITION_RESTRICTION</t>
  </si>
  <si>
    <t>PRODUCTION_PLAN_PROCESS_PRODUCTION_INSPECTION_ITEM_CONDITION_OPERATE_CODE</t>
  </si>
  <si>
    <t>PRODUCTION_PLAN_PROCESS_PRODUCTION_INSPECTION_ITEM_CONDITION_PLANNED_VALUE</t>
  </si>
  <si>
    <t>PRODUCTION_PLAN_PROCESS_PRODUCTION_MEASUREMENT</t>
  </si>
  <si>
    <t>PRODUCTION_PLAN_PROCESS_PRODUCTION_MEASUREMENT_RESTRICTION</t>
  </si>
  <si>
    <t>PRODUCTION_PLAN_PROCESS_PRODUCTION_MEASUREMENT_ITEM</t>
  </si>
  <si>
    <t>PRODUCTION_PLAN_PROCESS_PRODUCTION_MEASUREMENT_ITEM_RESTRICTION</t>
  </si>
  <si>
    <t>PRODUCTION_PLAN_PROCESS_PRODUCTION_MEASUREMENT_ITEM_OPERATE_CODE</t>
  </si>
  <si>
    <t>PRODUCTION_PLAN_PROCESS_PRODUCTION_MEASUREMENT_ITEM_PLANNED_VALUE</t>
  </si>
  <si>
    <t>PRODUCTION_PLAN_PROCESS_PRODUCTION_MEASUREMENT_ITEM_CONDITION</t>
  </si>
  <si>
    <t>PRODUCTION_PLAN_PROCESS_PRODUCTION_MEASUREMENT_ITEM_CONDITION_RESTRICTION</t>
  </si>
  <si>
    <t>PRODUCTION_PLAN_PROCESS_PRODUCTION_MEASUREMENT_ITEM_CONDITION_OPERATE_CODE</t>
  </si>
  <si>
    <t>PRODUCTION_PLAN_PROCESS_PRODUCTION_MEASUREMENT_ITEM_CONDITION_PLANNED_VALUE</t>
  </si>
  <si>
    <t>PRODUCTION_PLAN_QUALITY_ANOMALY_ANOMALY_RANK</t>
  </si>
  <si>
    <t>PRODUCTION_PLAN_QUALITY_ANOMALY_ANOMALY_LINEOUT</t>
  </si>
  <si>
    <t>PRODUCTION_PLAN_QUALITY_ANOMALY_ANOMALY_SOMETHING</t>
  </si>
  <si>
    <t>PRODUCTION_PLAN_QUALITY_ANOMALY_ANOMALY_DISCOVER_SECTION</t>
  </si>
  <si>
    <t>PRODUCTION_PLAN_QUALITY_ANOMALY_TREAT_UNREPEAT</t>
  </si>
  <si>
    <t>PRODUCTION_PLAN_QUALITY_ANOMALY_OCCURRENCE_CAUSE_RESPONSIBLE_SECTION</t>
  </si>
  <si>
    <t>PRODUCTION_PLAN_QUALITY_ANOMALY_OCCURRENCE_CAUSE_OCCURRENCE_SECTION</t>
  </si>
  <si>
    <t>PRODUCTION_PLAN_QUALITY_ANOMALY_SPILL_CAUSE_RESPONSIBLE_SECTION</t>
  </si>
  <si>
    <t>PRODUCTION_PLAN_QUALITY_ANOMALY_SPILL_CAUSE_OCCURRENCE_SECTION</t>
  </si>
  <si>
    <t>PRODUCTION_PLAN_QUALITY_ANOMALY_SET</t>
  </si>
  <si>
    <t>PRODUCTION_PLAN_PRODUCTION_ANOMALY_ANOMALY_RANK</t>
  </si>
  <si>
    <t>PRODUCTION_PLAN_PRODUCTION_ANOMALY_ANOMALY_LINEOUT</t>
  </si>
  <si>
    <t>PRODUCTION_PLAN_PRODUCTION_ANOMALY_ANOMALY_SOMETHING</t>
  </si>
  <si>
    <t>PRODUCTION_PLAN_PRODUCTION_ANOMALY_ANOMALY_DISCOVER_SECTION</t>
  </si>
  <si>
    <t>PRODUCTION_PLAN_PRODUCTION_ANOMALY_TREAT_UNREPEAT</t>
  </si>
  <si>
    <t>PRODUCTION_PLAN_PRODUCTION_ANOMALY_OCCURRENCE_CAUSE_RESPONSIBLE_SECTION</t>
  </si>
  <si>
    <t>PRODUCTION_PLAN_PRODUCTION_ANOMALY_OCCURRENCE_CAUSE_OCCURRENCE_SECTION</t>
  </si>
  <si>
    <t>PRODUCTION_PLAN_PRODUCTION_ANOMALY_SPILL_CAUSE_RESPONSIBLE_SECTION</t>
  </si>
  <si>
    <t>PRODUCTION_PLAN_PRODUCTION_ANOMALY_SPILL_CAUSE_OCCURRENCE_SECTION</t>
  </si>
  <si>
    <t>PRODUCTION_PLAN_PRODUCTION_ANOMALY_SET</t>
  </si>
  <si>
    <t>PRODUCTION_DETAIL_PRODUCTION_BASIC</t>
  </si>
  <si>
    <t>PRODUCTION_DETAIL_PRODUCTION_BASIC_PARAMETER</t>
  </si>
  <si>
    <t>PRODUCTION_DETAIL_PROCESS_PRODUCTION_BASIC_PARAMETER</t>
  </si>
  <si>
    <t>PRODUCTION_DETAIL_PROCESS_PRODUCTION_BASIC_HISTORY</t>
  </si>
  <si>
    <t>PRODUCTION_DETAIL_PROCESS_PRODUCTION_BASIC_HISTORY_OCCURRENCE_BREAKDOWN</t>
  </si>
  <si>
    <t>PRODUCTION_DETAIL_PROCESS_PRODUCTION_BASIC_LOT</t>
  </si>
  <si>
    <t>PRODUCTION_DETAIL_PROCESS_PRODUCTION_COMPONENTS</t>
  </si>
  <si>
    <t>PRODUCTION_DETAIL_PROCESS_PRODUCTION_WORK</t>
  </si>
  <si>
    <t>PRODUCTION_DETAIL_PROCESS_PRODUCTION_WORK_ATTACHED_FILE</t>
  </si>
  <si>
    <t>PRODUCTION_DETAIL_PROCESS_PRODUCTION_INSPECTION</t>
  </si>
  <si>
    <t>PRODUCTION_DETAIL_PROCESS_PRODUCTION_INSPECTION_ITEM_CONDITION</t>
  </si>
  <si>
    <t>PRODUCTION_DETAIL_PROCESS_PRODUCTION_INSPECTION_ATTACHED_FILE</t>
  </si>
  <si>
    <t>PRODUCTION_DETAIL_PROCESS_PRODUCTION_MEASUREMENT</t>
  </si>
  <si>
    <t>PRODUCTION_DETAIL_PROCESS_PRODUCTION_MEASUREMENT_ITEM_CONDITION</t>
  </si>
  <si>
    <t>PRODUCTION_DETAIL_PROCESS_PRODUCTION_MEASUREMENT_ATTACHED_FILE</t>
  </si>
  <si>
    <t>QUALITY_ANOMALY_ATTACHED_FILE</t>
  </si>
  <si>
    <t>PRODUCTION_ANOMALY_ATTACHED_FILE</t>
  </si>
  <si>
    <t>PRODUCTION_DEFAULT_RESULTS</t>
  </si>
  <si>
    <t>PRODUCTION_DEFAULT_RESULTS_PRODUCTION_BASIC</t>
  </si>
  <si>
    <t>PRODUCTION_DEFAULT_RESULTS_PRODUCTION_BASIC_PARAMETER</t>
  </si>
  <si>
    <t>PRODUCTION_DEFAULT_RESULTS_SETUP</t>
  </si>
  <si>
    <t>PRODUCTION_DEFAULT_RESULTS_PROCESS</t>
  </si>
  <si>
    <t>PRODUCTION_DEFAULT_RESULTS_PROCESS_PRODUCTION_BASIC_PARAMETER</t>
  </si>
  <si>
    <t>PRODUCTION_DEFAULT_RESULTS_PROCESS_PRODUCTION_BASIC_HISTORY</t>
  </si>
  <si>
    <t>PRODUCTION_DEFAULT_RESULTS_PROCESS_PRODUCTION_BASIC_HISTORY_OCCURRENCE_BREAKDOWN</t>
  </si>
  <si>
    <t>PRODUCTION_DEFAULT_RESULTS_PROCESS_PRODUCTION_BASIC_LOT</t>
  </si>
  <si>
    <t>PRODUCTION_DEFAULT_RESULTS_PROCESS_PRODUCTION_COMPONENTS</t>
  </si>
  <si>
    <t>PRODUCTION_DEFAULT_RESULTS_PROCESS_PRODUCTION_WORK</t>
  </si>
  <si>
    <t>PRODUCTION_DEFAULT_RESULTS_PROCESS_PRODUCTION_INSPECTION</t>
  </si>
  <si>
    <t>PRODUCTION_DEFAULT_RESULTS_PROCESS_PRODUCTION_INSPECTION_ITEM_CONDITION</t>
  </si>
  <si>
    <t>PRODUCTION_DEFAULT_RESULTS_PROCESS_PRODUCTION_MEASUREMENT</t>
  </si>
  <si>
    <t>PRODUCTION_DEFAULT_RESULTS_PROCESS_PRODUCTION_MEASUREMENT_ITEM_CONDITION</t>
  </si>
  <si>
    <t>SOI_LOCATION_PRODUCT_RESTRICTION</t>
  </si>
  <si>
    <t>SOI_PRODUCT_PRODUCTION_TYPE_RESTRICTION</t>
  </si>
  <si>
    <t>SOI_PRODUCTION_TYPE_PRODUCTION_PLAN</t>
  </si>
  <si>
    <t>SOI_PRODUCTION_TYPE_PRODUCTION_PLAN_RESTRICTION</t>
  </si>
  <si>
    <t>SOI_PRODUCTION_TYPE_PRODUCTION_BASIC_RESTRICTION</t>
  </si>
  <si>
    <t>SOI_PRODUCTION_TYPE_PRODUCTION_BASIC_PARAMETER_RESTRICTION</t>
  </si>
  <si>
    <t>SOI_PRODUCTION_TYPE_PRODUCTION_BASIC_PARAMETER_STANDARD_VALUE</t>
  </si>
  <si>
    <t>SOI_PRODUCTION_TYPE_PRODUCTION_SETUP</t>
  </si>
  <si>
    <t>SOI_PRODUCTION_TYPE_PRODUCTION_SETUP_RESTRICTION</t>
  </si>
  <si>
    <t>SOI_PRODUCTION_TYPE_PRODUCTION_SETUP_ITEM_RESTRICTION</t>
  </si>
  <si>
    <t>SOI_PRODUCTION_TYPE_PROCESSGROUP</t>
  </si>
  <si>
    <t>SOI_PRODUCTION_TYPE_PROCESSGROUP_RESTRICTION</t>
  </si>
  <si>
    <t>SOI_PROCESSGROUP_PROCESS_RESTRICTION</t>
  </si>
  <si>
    <t>SOI_PROCESS_PRODUCTION_PLAN</t>
  </si>
  <si>
    <t>SOI_PROCESS_PRODUCTION_PLAN_RESTRICTION</t>
  </si>
  <si>
    <t>SOI_PROCESS_PRODUCTION_PLAN_STANDARD_VALUE</t>
  </si>
  <si>
    <t>SOI_PROCESS_PRODUCTION_BASIC</t>
  </si>
  <si>
    <t>SOI_PROCESS_PRODUCTION_BASIC_RESTRICTION</t>
  </si>
  <si>
    <t>SOI_PROCESS_PRODUCTION_BASIC_PARAMETER_RESTRICTION</t>
  </si>
  <si>
    <t>SOI_PROCESS_PRODUCTION_BASIC_PARAMETER_STANDARD_VALUE</t>
  </si>
  <si>
    <t>SOI_PROCESS_PRODUCTION_BASIC_LOT_RESTRICTION</t>
  </si>
  <si>
    <t>SOI_PROCESS_PRODUCTION_BASIC_LOT_STANDARD_VALUE</t>
  </si>
  <si>
    <t>SOI_PROCESS_PRODUCTION_COMPONENTS</t>
  </si>
  <si>
    <t>SOI_PROCESS_PRODUCTION_COMPONENTS_RESTRICTION</t>
  </si>
  <si>
    <t>SOI_PROCESS_PRODUCTION_COMPONENTS_ITEM_RESTRICTION</t>
  </si>
  <si>
    <t>SOI_PROCESS_PRODUCTION_COMPONENTS_ITEM_STANDARD_VALUE</t>
  </si>
  <si>
    <t>SOI_PROCESS_PRODUCTION_WORK</t>
  </si>
  <si>
    <t>SOI_PROCESS_PRODUCTION_WORK_RESTRICTION</t>
  </si>
  <si>
    <t>SOI_PROCESS_PRODUCTION_WORK_ITEM_RESTRICTION</t>
  </si>
  <si>
    <t>SOI_PROCESS_PRODUCTION_INSPECTION</t>
  </si>
  <si>
    <t>SOI_PROCESS_PRODUCTION_INSPECTION_RESTRICTION</t>
  </si>
  <si>
    <t>SOI_PROCESS_PRODUCTION_INSPECTION_ITEM_RESTRICTION</t>
  </si>
  <si>
    <t>SOI_PROCESS_PRODUCTION_INSPECTION_ITEM_STANDARD_VALUE</t>
  </si>
  <si>
    <t>SOI_PROCESS_PRODUCTION_INSPECTION_ITEM_CONDITION_RESTRICTION</t>
  </si>
  <si>
    <t>SOI_PROCESS_PRODUCTION_INSPECTION_ITEM_CONDITION_STANDARD_VALUE</t>
  </si>
  <si>
    <t>SOI_PROCESS_PRODUCTION_MEASUREMENT</t>
  </si>
  <si>
    <t>SOI_PROCESS_PRODUCTION_MEASUREMENT_RESTRICTION</t>
  </si>
  <si>
    <t>SOI_PROCESS_PRODUCTION_MEASUREMENT_ITEM_RESTRICTION</t>
  </si>
  <si>
    <t>SOI_PROCESS_PRODUCTION_MEASUREMENT_ITEM_STANDARD_VALUE</t>
  </si>
  <si>
    <t>SOI_PROCESS_PRODUCTION_MEASUREMENT_ITEM_CONDITION_RESTRICTION</t>
  </si>
  <si>
    <t>SOI_PROCESS_PRODUCTION_MEASUREMENT_ITEM_CONDITION_STANDARD_VALUE</t>
  </si>
  <si>
    <t>PRODUCT＿MASTER_RESTRICTION</t>
  </si>
  <si>
    <t>PRODUCTION_TYPE_MASTER_RESTRICTION</t>
  </si>
  <si>
    <t>PROCESSGROUP_MASTER</t>
  </si>
  <si>
    <t>PROCESSGROUP_MASTER_RESTRICTION</t>
  </si>
  <si>
    <t>PROCESS_MASTER_RESTRICTION</t>
  </si>
  <si>
    <t>PRODUCTION_PLAN_MASTER</t>
  </si>
  <si>
    <t>PRODUCTION_PLAN_MASTER_RESTRICTION</t>
  </si>
  <si>
    <t>PRODUCTION_BASIC_MASTER_RESTRICTION</t>
  </si>
  <si>
    <t>PRODUCTION_BASIC_MASTER_PARAMETER</t>
  </si>
  <si>
    <t>PRODUCTION_BASIC_MASTER_PARAMETER_RESTRICTION</t>
  </si>
  <si>
    <t>PRODUCTION_BASIC_MASTER_PARAMETER_STANDARD_VALUE</t>
  </si>
  <si>
    <t>PRODUCTION_PLAN_PROCESS_MASTER</t>
  </si>
  <si>
    <t>PRODUCTION_PLAN_PROCESS_MASTER_RESTRICTION</t>
  </si>
  <si>
    <t>PRODUCTION_PLAN_PROCESS_MASTER_STANDARD_VALUE</t>
  </si>
  <si>
    <t>PRODUCTION_BASIC_PROCESS_MASTER_RESTRICTION</t>
  </si>
  <si>
    <t>PRODUCTION_BASIC_PROCESS_MASTER_PARAMETER_RESTRICTION</t>
  </si>
  <si>
    <t>PRODUCTION_BASIC_PROCESS_MASTER_PARAMETER_STANDARD_VALUE</t>
  </si>
  <si>
    <t>PRODUCTION_BASIC_PROCESS_MASTER_LOT_RESTRICTION</t>
  </si>
  <si>
    <t>PRODUCTION_BASIC_PROCESS_MASTER_LOT_STANDARD_VALUE</t>
  </si>
  <si>
    <t>PRODUCTION_COMPONENTS_MASTER_RESTRICTION</t>
  </si>
  <si>
    <t>PRODUCTION_COMPONENTS_MASTER_ITEM_RESTRICTION</t>
  </si>
  <si>
    <t>PRODUCTION_COMPONENTS_MASTER_ITEM_STANDARD_VALUE</t>
  </si>
  <si>
    <t>PRODUCTION_WORK_MASTER_RESTRICTION</t>
  </si>
  <si>
    <t>PRODUCTION_INSPECTION_MASTER_RESTRICTION</t>
  </si>
  <si>
    <t>PRODUCTION_INSPECTION_MASTER_ITEM_RESTRICTION</t>
  </si>
  <si>
    <t>PRODUCTION_INSPECTION_MASTER_ITEM_SELECT_LIST</t>
  </si>
  <si>
    <t>PRODUCTION_INSPECTION_MASTER_ITEM_STANDARD_VALUE</t>
  </si>
  <si>
    <t>PRODUCTION_INSPECTION_MASTER_ITEM_CONDITION</t>
  </si>
  <si>
    <t>PRODUCTION_INSPECTION_MASTER_ITEM_CONDITION_RESTRICTION</t>
  </si>
  <si>
    <t>PRODUCTION_INSPECTION_MASTER_ITEM_CONDITION_STANDARD_VALUE</t>
  </si>
  <si>
    <t>PRODUCTION_MEASUREMENT_MASTER_RESTRICTION</t>
  </si>
  <si>
    <t>PRODUCTION_MEASUREMENT_MASTER_ITEM_RESTRICTION</t>
  </si>
  <si>
    <t>PRODUCTION_MEASUREMENT_MASTER_ITEM_STANDARD_VALUE</t>
  </si>
  <si>
    <t>PRODUCTION_MEASUREMENT_MASTER_ITEM_CONDITION</t>
  </si>
  <si>
    <t>PRODUCTION_MEASUREMENT_MASTER_ITEM_CONDITION_STANDARD_VALUE</t>
  </si>
  <si>
    <t>OPERATION_PLAN_OPERATION_PLAN</t>
  </si>
  <si>
    <t>OPERATION_PLAN_OPERATION_PLAN_PLANNED_VALUE</t>
  </si>
  <si>
    <t>OPERATION_PLAN_OPERATION_PLAN_PRODUCTION_PLAN</t>
  </si>
  <si>
    <t>OPERATION_PLAN_OPERATION_BASIC</t>
  </si>
  <si>
    <t>OPERATION_PLAN_OPERATION_BASIC_PARAMETER</t>
  </si>
  <si>
    <t>OPERATION_PLAN_OPERATION_BASIC_PARAMETER_PLANNED_VALUE</t>
  </si>
  <si>
    <t>OPERATION_PLAN_OPERATION_BASIC_CYCLE_TIME_PLANNED_VALUE</t>
  </si>
  <si>
    <t>OPERATION_PLAN_OPERATION_CAPACITY</t>
  </si>
  <si>
    <t>OPERATION_PLAN_OPERATION_CAPACITY_ITEM</t>
  </si>
  <si>
    <t>OPERATION_PLAN_OPERATION_INSPECTION</t>
  </si>
  <si>
    <t>OPERATION_PLAN_OPERATION_INSPECTION_ITEM</t>
  </si>
  <si>
    <t>OPERATION_PLAN_OPERATION_REPLACEMENT</t>
  </si>
  <si>
    <t>OPERATION_PLAN_OPERATION_REPLACEMENT_ITEM</t>
  </si>
  <si>
    <t>OPERATION_PLAN_OPERATION_ANOMALY</t>
  </si>
  <si>
    <t>OPERATION_PLAN_OPERATION_ANOMALY_ANOMALY_RANK</t>
  </si>
  <si>
    <t>OPERATION_PLAN_OPERATION_ANOMALY_ANOMALY_LINEOUT</t>
  </si>
  <si>
    <t>OPERATION_PLAN_OPERATION_ANOMALY_ANOMALY_SOMETHING</t>
  </si>
  <si>
    <t>OPERATION_PLAN_OPERATION_ANOMALY_ANOMALY_DISCOVER_SECTION</t>
  </si>
  <si>
    <t>OPERATION_PLAN_OPERATION_ANOMALY_TREAT_UNREPEAT</t>
  </si>
  <si>
    <t>OPERATION_PLAN_OPERATION_ANOMALY_OCCURRENCE_CAUSE_RESPONSIBLE_SECTION</t>
  </si>
  <si>
    <t>OPERATION_PLAN_OPERATION_ANOMALY_OCCURRENCE_CAUSE_OCCURRENCE_SECTION</t>
  </si>
  <si>
    <t>OPERATION_PLAN_OPERATION_ANOMALY_SPILL_CAUSE_RESPONSIBLE_SECTION</t>
  </si>
  <si>
    <t>OPERATION_PLAN_OPERATION_ANOMALY_SPILL_CAUSE_OCCURRENCE_SECTION</t>
  </si>
  <si>
    <t>OPERATION_PLAN_OPERATION_ANOMALY_SET</t>
  </si>
  <si>
    <t>OPERATION_RESULT_OPERATION_CAPACITY</t>
  </si>
  <si>
    <t>OPERATION_RESULT_PRODUCT_CYCLE_TIME</t>
  </si>
  <si>
    <t>OPERATION_DETAIL_OPERATION_BASIC</t>
  </si>
  <si>
    <t>OPERATION_DETAIL_OPERATION_BASIC_PARAMETER</t>
  </si>
  <si>
    <t>OPERATION_DETAIL_OPERATION_BASIC_HISTORY</t>
  </si>
  <si>
    <t>OPERATION_DETAIL_OPERATION_BASIC_HISTORY_CYCLE_TIME</t>
  </si>
  <si>
    <t>OPERATION_DETAIL_OPERATION_CAPACITY</t>
  </si>
  <si>
    <t>OPERATION_DETAIL_OPERATION_INSPECTION</t>
  </si>
  <si>
    <t>OPERATION_DETAIL_OPERATION_INSPECTION_ATTACHED_FILE</t>
  </si>
  <si>
    <t>OPERATION_DETAIL_OPERATION_REPLACEMENT</t>
  </si>
  <si>
    <t>OPERATION_DETAIL_OPERATION_REPLACEMENT_ATTACHED_FILE</t>
  </si>
  <si>
    <t>OPERATION_ANOMALY_ATTACHED_FILE</t>
  </si>
  <si>
    <t>SOI_LOCATION_OPERATE_RESTRICTION</t>
  </si>
  <si>
    <t>SOI_OPERATE_OPERATION_PLAN</t>
  </si>
  <si>
    <t>SOI_OPERATE_OPERATION_CAPACITY_ITEM</t>
  </si>
  <si>
    <t>SOI_OPERATE_OPERATION_INSPECTION_ITEM</t>
  </si>
  <si>
    <t>SOI_OPERATE_OPERATION_REPLACEMENT_ITEM</t>
  </si>
  <si>
    <t>SOI_OPERATE_PRODUCT_CODE</t>
  </si>
  <si>
    <t>SOI_OPERATE_PRODUCTION_BASIC_PARAMETER_CODE</t>
  </si>
  <si>
    <t>SOI_OPERATE_SETUP_ITEM_CODE</t>
  </si>
  <si>
    <t>SOI_OPERATE_PRODUCTION_BASIC_PROCESS_PARAMETER_CODE</t>
  </si>
  <si>
    <t>SOI_OPERATE_PRODUCTION_BASIC_PROCESS_HISTORY_OCCURRENCE_BREAKDOWN_CODE</t>
  </si>
  <si>
    <t>SOI_OPERATE_PRODUCTION_COMPONENTS_ITEM_CODE</t>
  </si>
  <si>
    <t>SOI_OPERATE_PRODUCTION_WORK_ITEM_CODE</t>
  </si>
  <si>
    <t>SOI_OPERATE_PRODUCTION_INSPECTION_ITEM_CODE</t>
  </si>
  <si>
    <t>SOI_OPERATE_PRODUCTION_INSPECTION_SELECT_LIST_CODE</t>
  </si>
  <si>
    <t>SOI_OPERATE_PRODUCTION_INSPECTION_CONDITION_CODE</t>
  </si>
  <si>
    <t>SOI_OPERATE_PRODUCTION_MEASUREMENT_ITEM_CODE</t>
  </si>
  <si>
    <t>SOI_OPERATE_PRODUCTION_MEASUREMENT_CONDITION_CODE</t>
  </si>
  <si>
    <t>SOI_OPERATE_QUALITY_ANOMALY_SET</t>
  </si>
  <si>
    <t>SOI_OPERATE_PRODUCTION_ANOMALY_SET</t>
  </si>
  <si>
    <t>SOI_OPERATE_OPERATION_ANOMALY_SET</t>
  </si>
  <si>
    <t>OPERATION_PLAN_MASTER</t>
  </si>
  <si>
    <t>OPERATION_BASIC_MASTER_PARAMETER_STANDARD_VALUE</t>
  </si>
  <si>
    <t>SOI_CATEGORY_OPERATION_ANOMALY</t>
  </si>
  <si>
    <t>CALENDAR_MASTER</t>
  </si>
  <si>
    <t>CALENDAR_MASTER_SHIFT</t>
  </si>
  <si>
    <t>CALENDAR_MASTER_EXCEPTION</t>
  </si>
  <si>
    <t>CALENDAR_MASTER_EXCEPTION_SHIFT</t>
  </si>
  <si>
    <t>CHART_MASTER</t>
  </si>
  <si>
    <t>PARTITIONING_MASTER</t>
  </si>
  <si>
    <t>LOG_TENANT</t>
  </si>
  <si>
    <t>PRODUCTION_PLAN_PRODUCT_ATTACHEDINFO</t>
    <phoneticPr fontId="1"/>
  </si>
  <si>
    <t>稼動計画－アクセス制限</t>
  </si>
  <si>
    <t>稼動計画－稼動実績計画－アクセス制限</t>
  </si>
  <si>
    <t>稼動計画－稼動実績基本－アクセス制限</t>
  </si>
  <si>
    <t>稼動計画－稼動実績基本－稼動パラメータ－アクセス制限</t>
  </si>
  <si>
    <t>稼動計画－稼動実績基本－稼動ステータス履歴－アクセス制限</t>
  </si>
  <si>
    <t>稼動計画－稼動実績基本－稼動ステータス履歴－サイクルタイム</t>
  </si>
  <si>
    <t>稼動計画－稼動実績能力－アクセス制限</t>
  </si>
  <si>
    <t>稼動計画－稼動実績能力－項目－アクセス制限</t>
  </si>
  <si>
    <t>稼動計画－稼動実績点検－アクセス制限</t>
  </si>
  <si>
    <t>稼動計画－稼動実績点検－項目－アクセス制限</t>
  </si>
  <si>
    <t>稼動計画－稼動実績交換－アクセス制限</t>
  </si>
  <si>
    <t>稼動計画－稼動実績交換－項目－アクセス制限</t>
  </si>
  <si>
    <t>【標準指示】拠点－稼動実績計画－アクセス制限</t>
  </si>
  <si>
    <t>【標準指示】拠点－稼動実績基本－アクセス制限</t>
  </si>
  <si>
    <t>【標準指示】拠点－稼動実績基本－稼動パラメータ－アクセス制限</t>
  </si>
  <si>
    <t>稼動マスタ－アクセス制限</t>
  </si>
  <si>
    <t>稼動実績計画マスタ－アクセス制限</t>
  </si>
  <si>
    <t>稼動実績基本マスタ－アクセス制限</t>
  </si>
  <si>
    <t>稼動実績基本マスタ－稼動パラメータ－アクセス制限</t>
  </si>
  <si>
    <t>稼動実績基本マスタ－稼動ステータス履歴－アクセス制限</t>
  </si>
  <si>
    <t>稼動実績基本マスタ－稼動ステータス履歴－サイクルタイム</t>
  </si>
  <si>
    <t>稼動実績基本マスタ－稼動ステータス履歴－サイクルタイム－標準値</t>
  </si>
  <si>
    <t>稼動実績能力マスタ－アクセス制限</t>
  </si>
  <si>
    <t>稼動実績能力マスタ－項目－アクセス制限</t>
  </si>
  <si>
    <t>稼動実績点検マスタ－アクセス制限</t>
  </si>
  <si>
    <t>稼動実績点検マスタ－項目－アクセス制限</t>
  </si>
  <si>
    <t>稼動実績交換マスタ－アクセス制限</t>
  </si>
  <si>
    <t>稼動実績交換マスタ－項目－アクセス制限</t>
  </si>
  <si>
    <t>PRODUCTION_PLAN_PRODUCTION_PLAN</t>
  </si>
  <si>
    <t>PRODUCTION_PLAN_PRODUCTION_BASIC</t>
  </si>
  <si>
    <t>OPERATION_PLAN_RESTRICTION</t>
  </si>
  <si>
    <t>OPERATION_PLAN_OPERATION_PLAN_RESTRICTION</t>
  </si>
  <si>
    <t>OPERATION_PLAN_OPERATION_BASIC_RESTRICTION</t>
  </si>
  <si>
    <t>OPERATION_PLAN_OPERATION_BASIC_PARAMETER_RESTRICTION</t>
  </si>
  <si>
    <t>OPERATION_PLAN_OPERATION_BASIC_HISTORY_RESTRICTION</t>
  </si>
  <si>
    <t>OPERATION_PLAN_OPERATION_BASIC_HISTORY_CYCLE_TIME</t>
  </si>
  <si>
    <t>OPERATION_PLAN_OPERATION_CAPACITY_RESTRICTION</t>
  </si>
  <si>
    <t>OPERATION_PLAN_OPERATION_INSPECTION_RESTRICTION</t>
  </si>
  <si>
    <t>OPERATION_PLAN_OPERATION_INSPECTION_ITEM_RESTRICTION</t>
  </si>
  <si>
    <t>OPERATION_PLAN_OPERATION_REPLACEMENT_RESTRICTION</t>
  </si>
  <si>
    <t>OPERATION_PLAN_OPERATION_REPLACEMENT_ITEM_RESTRICTION</t>
  </si>
  <si>
    <t>SOI_OPERATE_OPERATION_PLAN_RESTRICTION</t>
  </si>
  <si>
    <t>SOI_OPERATE_OPERATION_BASIC_RESTRICTION</t>
  </si>
  <si>
    <t>SOI_OPERATE_OPERATION_BASIC_PARAMETER</t>
  </si>
  <si>
    <t>SOI_OPERATE_OPERATION_BASIC_PARAMETER_RESTRICTION</t>
  </si>
  <si>
    <t>SOI_OPERATE_OPERATION_BASIC_PARAMETER_STANDARD_VALUE</t>
  </si>
  <si>
    <t>SOI_OPERATE_OPERATION_BASIC_HISTORY_RESTRICTION</t>
  </si>
  <si>
    <t>SOI_OPERATE_OPERATION_BASIC_HISTORY_CYCLE_TIME</t>
  </si>
  <si>
    <t>SOI_OPERATE_OPERATION_BASIC_HISTORY_CYCLE_TIME_STANDARD_VALUE</t>
  </si>
  <si>
    <t>SOI_OPERATE_OPERATION_CAPACITY_RESTRICTION</t>
  </si>
  <si>
    <t>SOI_OPERATE_OPERATION_CAPACITY_ITEM_RESTRICTION</t>
  </si>
  <si>
    <t>SOI_OPERATE_OPERATION_INSPECTION_RESTRICTION</t>
  </si>
  <si>
    <t>SOI_OPERATE_OPERATION_INSPECTION_ITEM_RESTRICTION</t>
  </si>
  <si>
    <t>SOI_OPERATE_OPERATION_REPLACEMENT_RESTRICTION</t>
  </si>
  <si>
    <t>SOI_OPERATE_OPERATION_REPLACEMENT_ITEM_RESTRICTION</t>
  </si>
  <si>
    <t>OPERATE_MASTER_RESTRICTION</t>
  </si>
  <si>
    <t>OPERATION_PLAN_MASTER_RESTRICTION</t>
  </si>
  <si>
    <t>OPERATION_BASIC_MASTER_RESTRICTION</t>
  </si>
  <si>
    <t>OPERATION_BASIC_MASTER_PARAMETER_RESTRICTION</t>
  </si>
  <si>
    <t>OPERATION_BASIC_MASTER_HISTORY_RESTRICTION</t>
  </si>
  <si>
    <t>OPERATION_BASIC_MASTER_HISTORY_CYCLE_TIME</t>
  </si>
  <si>
    <t>OPERATION_BASIC_MASTER_HISTORY_CYCLE_TIME_STANDARD_VALUE</t>
  </si>
  <si>
    <t>OPERATION_CAPACITY_MASTER_RESTRICTION</t>
  </si>
  <si>
    <t>OPERATION_CAPACITY_MASTER_ITEM_RESTRICTION</t>
  </si>
  <si>
    <t>OPERATION_INSPECTION_MASTER_RESTRICTION</t>
  </si>
  <si>
    <t>OPERATION_INSPECTION_MASTER_ITEM_RESTRICTION</t>
  </si>
  <si>
    <t>OPERATION_REPLACEMENT_MASTER_RESTRICTION</t>
  </si>
  <si>
    <t>OPERATION_REPLACEMENT_MASTER_ITEM_RESTRICTION</t>
  </si>
  <si>
    <t>PRODUCTION_PLAN_PRODUCTION_BASIC</t>
    <phoneticPr fontId="1"/>
  </si>
  <si>
    <t>PRODUCTION_PLAN_PRODUCTION_BASIC_PARAMETER_PLANNED_VALUE</t>
    <phoneticPr fontId="1"/>
  </si>
  <si>
    <t>PRODUCTION_PLAN_PRODUCTION_SETUP</t>
    <phoneticPr fontId="1"/>
  </si>
  <si>
    <t>PRODUCTION_PLAN_PRODUCTION_SETUP_ITEM</t>
    <phoneticPr fontId="1"/>
  </si>
  <si>
    <t>PRODUCTION_PLAN_PROCESSGROUP</t>
    <phoneticPr fontId="1"/>
  </si>
  <si>
    <t>PRODUCTION_PLAN_PROCESSGROUP_PROCESS</t>
    <phoneticPr fontId="1"/>
  </si>
  <si>
    <t>PRODUCTION_PLAN_PROCESS_PRODUCTION_BASIC_HISTORY_OCCURRENCE_BREAKDOWN</t>
    <phoneticPr fontId="1"/>
  </si>
  <si>
    <t>PRODUCTION_PLAN_PROCESS_PRODUCTION_COMPONENTS_ITEM_PLANNED_VALUE</t>
    <phoneticPr fontId="1"/>
  </si>
  <si>
    <t>PRODUCTION_PLAN_PROCESS_PRODUCTION_WORK</t>
    <phoneticPr fontId="1"/>
  </si>
  <si>
    <t>PRODUCTION_PLAN_PROCESS_PRODUCTION_INSPECTION</t>
    <phoneticPr fontId="1"/>
  </si>
  <si>
    <t>PRODUCTION_PLAN_PROCESS_PRODUCTION_INSPECTION_ITEM_CONDITION</t>
    <phoneticPr fontId="1"/>
  </si>
  <si>
    <t>PRODUCTION_PLAN_PROCESS_PRODUCTION_MEASUREMENT_ITEM_CONDITION</t>
    <phoneticPr fontId="1"/>
  </si>
  <si>
    <t>PRODUCTION_PLAN_PRODUCTION_ANOMALY_ANOMALY_LINEOUT</t>
    <phoneticPr fontId="1"/>
  </si>
  <si>
    <t>PRODUCTION_PLAN_PRODUCTION_ANOMALY_ANOMALY_DISCOVER_SECTION</t>
    <phoneticPr fontId="1"/>
  </si>
  <si>
    <t>PRODUCTION_PLAN_PRODUCTION_ANOMALY_OCCURRENCE_CAUSE_RESPONSIBLE_SECTION</t>
    <phoneticPr fontId="1"/>
  </si>
  <si>
    <t>PRODUCTION_PLAN_QUALITY_ANOMALY</t>
    <phoneticPr fontId="1"/>
  </si>
  <si>
    <t>PRODUCTION_PLAN_QUALITY_ANOMALY_ANOMALY_DISCOVER_SECTION</t>
    <phoneticPr fontId="1"/>
  </si>
  <si>
    <t>PRODUCTION_PLAN_QUALITY_ANOMALY_CONFIRM_DECISION</t>
    <phoneticPr fontId="1"/>
  </si>
  <si>
    <t>生産実績</t>
    <phoneticPr fontId="1"/>
  </si>
  <si>
    <t>PRODUCTION_DETAIL_PROCESS_PRODUCTION_WORK</t>
    <phoneticPr fontId="1"/>
  </si>
  <si>
    <t>PRODUCTION_DETAIL_PROCESS_PRODUCTION_MEASUREMENT_ITEM_CONDITION</t>
    <phoneticPr fontId="1"/>
  </si>
  <si>
    <t>稼働(設備)計画</t>
    <rPh sb="0" eb="2">
      <t>カドウ</t>
    </rPh>
    <rPh sb="3" eb="5">
      <t>セツビ</t>
    </rPh>
    <rPh sb="6" eb="8">
      <t>ケイカク</t>
    </rPh>
    <phoneticPr fontId="1"/>
  </si>
  <si>
    <t>稼働(設備)実績</t>
  </si>
  <si>
    <t>OPERATION_RESULT_MONITOR</t>
    <phoneticPr fontId="1"/>
  </si>
  <si>
    <t>PRODUCTION_PLAN_PROCESS_PRODUCTION_INSPECTION_ITEM</t>
    <phoneticPr fontId="1"/>
  </si>
  <si>
    <t>PRODUCTION_PLAN_PROCESS_PRODUCTION_PLAN</t>
  </si>
  <si>
    <t>PRODUCTION_PLAN_QUALITY_ANOMALY_RESTRICTION</t>
  </si>
  <si>
    <t>PRODUCTION_PLAN_QUALITY_ANOMALY_ANOMALY_RESTRICTION</t>
  </si>
  <si>
    <t>PRODUCTION_PLAN_QUALITY_ANOMALY_TREAT_RESTRICTION</t>
  </si>
  <si>
    <t>PRODUCTION_PLAN_QUALITY_ANOMALY_OCCURRENCE_CAUSE_RESTRICTION</t>
  </si>
  <si>
    <t>PRODUCTION_PLAN_QUALITY_ANOMALY_OCCURRENCE_MEASURE_RESTRICTION</t>
  </si>
  <si>
    <t>PRODUCTION_PLAN_QUALITY_ANOMALY_SPILL_CAUSE_RESTRICTION</t>
  </si>
  <si>
    <t>PRODUCTION_PLAN_QUALITY_ANOMALY_SPILL_MEASURE_RESTRICTION</t>
  </si>
  <si>
    <t>PRODUCTION_PLAN_QUALITY_ANOMALY_CONFIRM_RESTRICTION</t>
  </si>
  <si>
    <t>PRODUCTION_PLAN_PRODUCTION_ANOMALY_RESTRICTION</t>
  </si>
  <si>
    <t>PRODUCTION_PLAN_PRODUCTION_ANOMALY_ANOMALY_RESTRICTION</t>
  </si>
  <si>
    <t>PRODUCTION_PLAN_PRODUCTION_ANOMALY_TREAT_RESTRICTION</t>
  </si>
  <si>
    <t>PRODUCTION_PLAN_PRODUCTION_ANOMALY_OCCURRENCE_CAUSE_RESTRICTION</t>
  </si>
  <si>
    <t>PRODUCTION_PLAN_PRODUCTION_ANOMALY_OCCURRENCE_MEASURE_RESTRICTION</t>
  </si>
  <si>
    <t>PRODUCTION_PLAN_PRODUCTION_ANOMALY_SPILL_CAUSE_RESTRICTION</t>
  </si>
  <si>
    <t>PRODUCTION_PLAN_PRODUCTION_ANOMALY_SPILL_MEASURE_RESTRICTION</t>
  </si>
  <si>
    <t>PRODUCTION_PLAN_PRODUCTION_ANOMALY_CONFIRM_RESTRICTION</t>
  </si>
  <si>
    <t>OPERATION_PLAN_OPERATION_BASIC_PARAMETER_OPERATE_CODE</t>
  </si>
  <si>
    <t>OPERATION_PLAN_OPERATION_BASIC_HISTORY_CYCLE_TIME_OPERATE_CODE</t>
  </si>
  <si>
    <t>OPERATION_PLAN_OPERATION_CAPACITY_ITEM_OPERATE_CODE</t>
  </si>
  <si>
    <t>OPERATION_PLAN_OPERATION_INSPECTION_ITEM_OPERATE_CODE</t>
  </si>
  <si>
    <t>OPERATION_PLAN_OPERATION_REPLACEMENT_ITEM_OPERATE_CODE</t>
  </si>
  <si>
    <t>OPERATION_PLAN_OPERATION_REPLACEMENT_ITEM_CONFIRMATION</t>
  </si>
  <si>
    <t>OPERATION_PLAN_OPERATION_REPLACEMENT_ITEM_CONFIRMATION_RESTRICTION</t>
  </si>
  <si>
    <t>OPERATION_PLAN_OPERATION_REPLACEMENT_ITEM_CONFIRMATION_ITEM</t>
  </si>
  <si>
    <t>OPERATION_PLAN_OPERATION_REPLACEMENT_ITEM_CONFIRMATION_ITEM_RESTRICTION</t>
  </si>
  <si>
    <t>OPERATION_PLAN_OPERATION_REPLACEMENT_ITEM_CONFIRMATION_ITEM_OPERATE_CODE</t>
  </si>
  <si>
    <t>OPERATION_PLAN_OPERATION_REPLACEMENT_ITEM_CONFIRMATION_ITEM_PLANNED_VALUE</t>
  </si>
  <si>
    <t>OPERATION_PLAN_OPERATION_REPLACEMENT_ITEM_CONFIRMATION_ITEM_CONDITION</t>
  </si>
  <si>
    <t>OPERATION_PLAN_OPERATION_REPLACEMENT_ITEM_CONFIRMATION_ITEM_CONDITION_RESTRICTION</t>
  </si>
  <si>
    <t>OPERATION_PLAN_OPERATION_REPLACEMENT_ITEM_CONFIRMATION_ITEM_CONDITION_OPERATE_CODE</t>
  </si>
  <si>
    <t>OPERATION_PLAN_OPERATION_REPLACEMENT_ITEM_CONFIRMATION_ITEM_CONDITION_PLANNED_VALUE</t>
  </si>
  <si>
    <t>OPERATION_PLAN_OPERATION_ANOMALY_RESTRICTION</t>
  </si>
  <si>
    <t>OPERATION_PLAN_OPERATION_ANOMALY_ANOMALY_RESTRICTION</t>
  </si>
  <si>
    <t>OPERATION_PLAN_OPERATION_ANOMALY_TREAT_RESTRICTION</t>
  </si>
  <si>
    <t>OPERATION_PLAN_OPERATION_ANOMALY_OCCURRENCE_CAUSE_RESTRICTION</t>
  </si>
  <si>
    <t>OPERATION_PLAN_OPERATION_ANOMALY_OCCURRENCE_MEASURE_RESTRICTION</t>
  </si>
  <si>
    <t>OPERATION_PLAN_OPERATION_ANOMALY_SPILL_CAUSE_RESTRICTION</t>
  </si>
  <si>
    <t>OPERATION_PLAN_OPERATION_ANOMALY_SPILL_MEASURE_RESTRICTION</t>
  </si>
  <si>
    <t>OPERATION_PLAN_OPERATION_ANOMALY_CONFIRM_RESTRICTION</t>
  </si>
  <si>
    <t>OPERATION_DETAIL_OPERATION_REPLACEMENT_CONFIRMATION</t>
  </si>
  <si>
    <t>OPERATION_DETAIL_OPERATION_REPLACEMENT_CONFIRMATION_ITEM_CONDITION</t>
  </si>
  <si>
    <t>OPERATION_DETAIL_OPERATION_REPLACEMENT_CONFIRMATION_ATTACHED_FILE</t>
  </si>
  <si>
    <t>OPERATION_ACCURACY_INSPECTION_PLAN</t>
  </si>
  <si>
    <t>OPERATION_ACCURACY_INSPECTION_PLAN_RESTRICTION</t>
  </si>
  <si>
    <t>OPERATION_ACCURACY_INSPECTION_PLAN_ITEM</t>
  </si>
  <si>
    <t>OPERATION_ACCURACY_INSPECTION_PLAN_ITEM_RESTRICTION</t>
  </si>
  <si>
    <t>OPERATION_ACCURACY_INSPECTION_RESULT</t>
  </si>
  <si>
    <t>OPERATION_ACCURACY_INSPECTION__RESULT_ATTACHED_FILE</t>
  </si>
  <si>
    <t>OPERATION_INTERVAL_INSPECTION_PLAN</t>
  </si>
  <si>
    <t>OPERATION_INTERVAL_INSPECTION_PLAN_RESTRICTION</t>
  </si>
  <si>
    <t>OPERATION_INTERVAL_INSPECTION_PLAN_ITEM</t>
  </si>
  <si>
    <t>OPERATION_INTERVAL_INSPECTION_PLAN_ITEM_RESTRICTION</t>
  </si>
  <si>
    <t>OPERATION_INTERVAL_INSPECTION_PLAN_ITEM_OPERATE_CODE</t>
  </si>
  <si>
    <t>OPERATION_INTERVAL_INSPECTION_PLAN_ITEM_PLANNED_VALUE</t>
  </si>
  <si>
    <t>OPERATION_INTERVAL_INSPECTION_PLAN_ITEM_CONDITION</t>
  </si>
  <si>
    <t>OPERATION_INTERVAL_INSPECTION_PLAN_ITEM_CONDITION_RESTRICTION</t>
  </si>
  <si>
    <t>OPERATION_INTERVAL_INSPECTION_PLAN_ITEM_CONDITION_OPERATE_CODE</t>
  </si>
  <si>
    <t>OPERATION_INTERVAL_INSPECTION_PLAN_ITEM_CONDITION_PLANNED_VALUE</t>
  </si>
  <si>
    <t>OPERATION_INTERVAL_INSPECTION_RESULT</t>
  </si>
  <si>
    <t>OPERATION_INTERVAL_INSPECTION_RESULT_ITEM_CONDITION</t>
  </si>
  <si>
    <t>OPERATION_INTERVAL_INSPECTION_RESULT_ATTACHED_FILE</t>
  </si>
  <si>
    <t>SOI_OPERATE_OPERATION_REPLACEMENT_ITEM_CONFIRMATION</t>
  </si>
  <si>
    <t>SOI_OPERATE_OPERATION_REPLACEMENT_ITEM_CONFIRMATION_RESTRICTION</t>
  </si>
  <si>
    <t>SOI_OPERATE_OPERATION_REPLACEMENT_ITEM_CONFIRMATION_ITEM</t>
  </si>
  <si>
    <t>SOI_OPERATE_OPERATION_REPLACEMENT_ITEM_CONFIRMATION_ITEM_STANDARD_VALUE</t>
  </si>
  <si>
    <t>SOI_OPERATE_OPERATION_REPLACEMENT_ITEM_CONFIRMATION_ITEM_CONDITION_RESTRICTION</t>
  </si>
  <si>
    <t>SOI_OPERATE_OPERATION_REPLACEMENT_ITEM_CONFIRMATION_ITEM_CONDITION_STANDARD_VALUE</t>
  </si>
  <si>
    <t>SOI_OPERATE_ACCURACY_INSPECTION</t>
  </si>
  <si>
    <t>SOI_OPERATE_ACCURACY_INSPECTION_RESTRICTION</t>
  </si>
  <si>
    <t>SOI_OPERATE_ACCURACY_INSPECTION_ITEM</t>
  </si>
  <si>
    <t>SOI_OPERATE_ACCURACY_INSPECTION_ITEM_RESTRICTION</t>
  </si>
  <si>
    <t>SOI_OPERATE_INTERVAL_INSPECTION</t>
  </si>
  <si>
    <t>SOI_OPERATE_INTERVAL_INSPECTION_RESTRICTION</t>
  </si>
  <si>
    <t>SOI_OPERATE_INTERVAL_INSPECTION_ITEM</t>
  </si>
  <si>
    <t>SOI_OPERATE_INTERVAL_INSPECTION_ITEM_RESTRICTION</t>
  </si>
  <si>
    <t>SOI_OPERATE_INTERVAL_INSPECTION_ITEM_STANDARD_VALUE</t>
  </si>
  <si>
    <t>SOI_CATEGORY_QUALITY_ANOMALY_RESTRICTION</t>
  </si>
  <si>
    <t>SOI_CATEGORY_QUALITY_ANOMALY_ANOMALY_RESTRICTION</t>
  </si>
  <si>
    <t>SOI_CATEGORY_QUALITY_ANOMALY_TREAT_RESTRICTION</t>
  </si>
  <si>
    <t>SOI_CATEGORY_QUALITY_ANOMALY_OCCURRENCE_CAUSE_RESTRICTION</t>
  </si>
  <si>
    <t>SOI_CATEGORY_QUALITY_ANOMALY_OCCURRENCE_MEASURE_RESTRICTION</t>
  </si>
  <si>
    <t>SOI_CATEGORY_QUALITY_ANOMALY_SPILL_CAUSE_RESTRICTION</t>
  </si>
  <si>
    <t>SOI_CATEGORY_QUALITY_ANOMALY_SPILL_MEASURE_RESTRICTION</t>
  </si>
  <si>
    <t>SOI_CATEGORY_QUALITY_ANOMALY_CONFIRM_RESTRICTION</t>
  </si>
  <si>
    <t>SOI_CATEGORY_PRODUCTION_ANOMALY_RESTRICTION</t>
  </si>
  <si>
    <t>SOI_CATEGORY_PRODUCTION_ANOMALY_ANOMALY_RESTRICTION</t>
  </si>
  <si>
    <t>SOI_CATEGORY_PRODUCTION_ANOMALY_TREAT_RESTRICTION</t>
  </si>
  <si>
    <t>SOI_CATEGORY_PRODUCTION_ANOMALY_OCCURRENCE_CAUSE_RESTRICTION</t>
  </si>
  <si>
    <t>SOI_CATEGORY_PRODUCTION_ANOMALY_OCCURRENCE_MEASURE_RESTRICTION</t>
  </si>
  <si>
    <t>SOI_CATEGORY_PRODUCTION_ANOMALY_SPILL_CAUSE_RESTRICTION</t>
  </si>
  <si>
    <t>SOI_CATEGORY_PRODUCTION_ANOMALY_SPILL_MEASURE_RESTRICTION</t>
  </si>
  <si>
    <t>SOI_CATEGORY_PRODUCTION_ANOMALY_CONFIRM_RESTRICTION</t>
  </si>
  <si>
    <t>SOI_CATEGORY_OPERATION_ANOMALY_RESTRICTION</t>
  </si>
  <si>
    <t>SOI_CATEGORY_OPERATION_ANOMALY_ANOMALY_RESTRICTION</t>
  </si>
  <si>
    <t>SOI_CATEGORY_OPERATION_ANOMALY_TREAT_RESTRICTION</t>
  </si>
  <si>
    <t>SOI_CATEGORY_OPERATION_ANOMALY_OCCURRENCE_CAUSE_RESTRICTION</t>
  </si>
  <si>
    <t>SOI_CATEGORY_OPERATION_ANOMALY_OCCURRENCE_MEASURE_RESTRICTION</t>
  </si>
  <si>
    <t>SOI_CATEGORY_OPERATION_ANOMALY_SPILL_CAUSE_RESTRICTION</t>
  </si>
  <si>
    <t>SOI_CATEGORY_OPERATION_ANOMALY_SPILL_MEASURE_RESTRICTION</t>
  </si>
  <si>
    <t>SOI_CATEGORY_OPERATION_ANOMALY_CONFIRM_RESTRICTION</t>
  </si>
  <si>
    <t>SOI_LOCATION_QUALITY_ANOMALY_RESTRICTION</t>
  </si>
  <si>
    <t>SOI_LOCATION_QUALITY_ANOMALY_ANOMALY_RESTRICTION</t>
  </si>
  <si>
    <t>SOI_LOCATION_QUALITY_ANOMALY_TREAT_RESTRICTION</t>
  </si>
  <si>
    <t>SOI_LOCATION_QUALITY_ANOMALY_OCCURRENCE_CAUSE_RESTRICTION</t>
  </si>
  <si>
    <t>SOI_LOCATION_QUALITY_ANOMALY_OCCURRENCE_MEASURE_RESTRICTION</t>
  </si>
  <si>
    <t>SOI_LOCATION_QUALITY_ANOMALY_SPILL_CAUSE_RESTRICTION</t>
  </si>
  <si>
    <t>SOI_LOCATION_QUALITY_ANOMALY_SPILL_MEASURE_RESTRICTION</t>
  </si>
  <si>
    <t>SOI_LOCATION_QUALITY_ANOMALY_CONFIRM_RESTRICTION</t>
  </si>
  <si>
    <t>SOI_LOCATION_PRODUCTION_ANOMALY_RESTRICTION</t>
  </si>
  <si>
    <t>SOI_LOCATION_PRODUCTION_ANOMALY_ANOMALY_RESTRICTION</t>
  </si>
  <si>
    <t>SOI_LOCATION_PRODUCTION_ANOMALY_TREAT_RESTRICTION</t>
  </si>
  <si>
    <t>SOI_LOCATION_PRODUCTION_ANOMALY_OCCURRENCE_CAUSE_RESTRICTION</t>
  </si>
  <si>
    <t>SOI_LOCATION_PRODUCTION_ANOMALY_OCCURRENCE_MEASURE_RESTRICTION</t>
  </si>
  <si>
    <t>SOI_LOCATION_PRODUCTION_ANOMALY_SPILL_CAUSE_RESTRICTION</t>
  </si>
  <si>
    <t>SOI_LOCATION_PRODUCTION_ANOMALY_SPILL_MEASURE_RESTRICTION</t>
  </si>
  <si>
    <t>SOI_LOCATION_PRODUCTION_ANOMALY_CONFIRM_RESTRICTION</t>
  </si>
  <si>
    <t>SOI_LOCATION_OPERATION_ANOMALY_RESTRICTION</t>
  </si>
  <si>
    <t>SOI_LOCATION_OPERATION_ANOMALY_ANOMALY_RESTRICTION</t>
  </si>
  <si>
    <t>SOI_LOCATION_OPERATION_ANOMALY_TREAT_RESTRICTION</t>
  </si>
  <si>
    <t>SOI_LOCATION_OPERATION_ANOMALY_OCCURRENCE_CAUSE_RESTRICTION</t>
  </si>
  <si>
    <t>SOI_LOCATION_OPERATION_ANOMALY_OCCURRENCE_MEASURE_RESTRICTION</t>
  </si>
  <si>
    <t>SOI_LOCATION_OPERATION_ANOMALY_SPILL_CAUSE_RESTRICTION</t>
  </si>
  <si>
    <t>SOI_LOCATION_OPERATION_ANOMALY_SPILL_MEASURE_RESTRICTION</t>
  </si>
  <si>
    <t>SOI_LOCATION_OPERATION_ANOMALY_CONFIRM_RESTRICTION</t>
  </si>
  <si>
    <t>SOI_PRODUCT_QUALITY_ANOMALY_RESTRICTION</t>
  </si>
  <si>
    <t>SOI_PRODUCT_QUALITY_ANOMALY_ANOMALY_RESTRICTION</t>
  </si>
  <si>
    <t>SOI_PRODUCT_QUALITY_ANOMALY_TREAT_RESTRICTION</t>
  </si>
  <si>
    <t>SOI_PRODUCT_QUALITY_ANOMALY_OCCURRENCE_CAUSE_RESTRICTION</t>
  </si>
  <si>
    <t>SOI_PRODUCT_QUALITY_ANOMALY_OCCURRENCE_MEASURE_RESTRICTION</t>
  </si>
  <si>
    <t>SOI_PRODUCT_QUALITY_ANOMALY_SPILL_CAUSE_RESTRICTION</t>
  </si>
  <si>
    <t>SOI_PRODUCT_QUALITY_ANOMALY_SPILL_MEASURE_RESTRICTION</t>
  </si>
  <si>
    <t>SOI_PRODUCT_QUALITY_ANOMALY_CONFIRM_RESTRICTION</t>
  </si>
  <si>
    <t>SOI_PRODUCT_PRODUCTION_ANOMALY_RESTRICTION</t>
  </si>
  <si>
    <t>SOI_PRODUCT_PRODUCTION_ANOMALY_ANOMALY_RESTRICTION</t>
  </si>
  <si>
    <t>SOI_PRODUCT_PRODUCTION_ANOMALY_TREAT_RESTRICTION</t>
  </si>
  <si>
    <t>SOI_PRODUCT_PRODUCTION_ANOMALY_OCCURRENCE_CAUSE_RESTRICTION</t>
  </si>
  <si>
    <t>SOI_PRODUCT_PRODUCTION_ANOMALY_OCCURRENCE_MEASURE_RESTRICTION</t>
  </si>
  <si>
    <t>SOI_PRODUCT_PRODUCTION_ANOMALY_SPILL_CAUSE_RESTRICTION</t>
  </si>
  <si>
    <t>SOI_PRODUCT_PRODUCTION_ANOMALY_SPILL_MEASURE_RESTRICTION</t>
  </si>
  <si>
    <t>SOI_PRODUCT_PRODUCTION_ANOMALY_CONFIRM_RESTRICTION</t>
  </si>
  <si>
    <t>SOI_PRODUCTION_TYPE_QUALITY_ANOMALY_RESTRICTION</t>
  </si>
  <si>
    <t>SOI_PRODUCTION_TYPE_QUALITY_ANOMALY_ANOMALY_RESTRICTION</t>
  </si>
  <si>
    <t>SOI_PRODUCTION_TYPE_QUALITY_ANOMALY_TREAT_RESTRICTION</t>
  </si>
  <si>
    <t>SOI_PRODUCTION_TYPE_QUALITY_ANOMALY_OCCURRENCE_CAUSE_RESTRICTION</t>
  </si>
  <si>
    <t>SOI_PRODUCTION_TYPE_QUALITY_ANOMALY_OCCURRENCE_MEASURE_RESTRICTION</t>
  </si>
  <si>
    <t>SOI_PRODUCTION_TYPE_QUALITY_ANOMALY_SPILL_CAUSE_RESTRICTION</t>
  </si>
  <si>
    <t>SOI_PRODUCTION_TYPE_QUALITY_ANOMALY_SPILL_MEASURE_RESTRICTION</t>
  </si>
  <si>
    <t>SOI_PRODUCTION_TYPE_QUALITY_ANOMALY_CONFIRM_RESTRICTION</t>
  </si>
  <si>
    <t>SOI_PRODUCTION_TYPE_PRODUCTION_ANOMALY_RESTRICTION</t>
  </si>
  <si>
    <t>SOI_PRODUCTION_TYPE_PRODUCTION_ANOMALY_ANOMALY_RESTRICTION</t>
  </si>
  <si>
    <t>SOI_PRODUCTION_TYPE_PRODUCTION_ANOMALY_TREAT_RESTRICTION</t>
  </si>
  <si>
    <t>SOI_PRODUCTION_TYPE_PRODUCTION_ANOMALY_OCCURRENCE_CAUSE_RESTRICTION</t>
  </si>
  <si>
    <t>SOI_PRODUCTION_TYPE_PRODUCTION_ANOMALY_OCCURRENCE_MEASURE_RESTRICTION</t>
  </si>
  <si>
    <t>SOI_PRODUCTION_TYPE_PRODUCTION_ANOMALY_SPILL_CAUSE_RESTRICTION</t>
  </si>
  <si>
    <t>SOI_PRODUCTION_TYPE_PRODUCTION_ANOMALY_SPILL_MEASURE_RESTRICTION</t>
  </si>
  <si>
    <t>SOI_PRODUCTION_TYPE_PRODUCTION_ANOMALY_CONFIRM_RESTRICTION</t>
  </si>
  <si>
    <t>SOI_OPERATE_OPERATION_ANOMALY_RESTRICTION</t>
  </si>
  <si>
    <t>SOI_OPERATE_OPERATION_ANOMALY_ANOMALY_RESTRICTION</t>
  </si>
  <si>
    <t>SOI_OPERATE_OPERATION_ANOMALY_TREAT_RESTRICTION</t>
  </si>
  <si>
    <t>SOI_OPERATE_OPERATION_ANOMALY_OCCURRENCE_CAUSE_RESTRICTION</t>
  </si>
  <si>
    <t>SOI_OPERATE_OPERATION_ANOMALY_OCCURRENCE_MEASURE_RESTRICTION</t>
  </si>
  <si>
    <t>SOI_OPERATE_OPERATION_ANOMALY_SPILL_CAUSE_RESTRICTION</t>
  </si>
  <si>
    <t>SOI_OPERATE_OPERATION_ANOMALY_SPILL_MEASURE_RESTRICTION</t>
  </si>
  <si>
    <t>SOI_OPERATE_OPERATION_ANOMALY_CONFIRM_RESTRICTION</t>
  </si>
  <si>
    <t>生産計画－品質異常－アクセス制限</t>
  </si>
  <si>
    <t>生産計画－品質異常－異常－アクセス制限</t>
  </si>
  <si>
    <t>生産計画－品質異常－処置－アクセス制限</t>
  </si>
  <si>
    <t>生産計画－品質異常－発生原因－アクセス制限</t>
  </si>
  <si>
    <t>生産計画－品質異常－発生対策－アクセス制限</t>
  </si>
  <si>
    <t>生産計画－品質異常－流出原因－アクセス制限</t>
  </si>
  <si>
    <t>生産計画－品質異常－流出対策－アクセス制限</t>
  </si>
  <si>
    <t>生産計画－品質異常－効果確認－アクセス制限</t>
  </si>
  <si>
    <t>生産計画－生産異常－アクセス制限</t>
  </si>
  <si>
    <t>生産計画－生産異常－異常－アクセス制限</t>
  </si>
  <si>
    <t>生産計画－生産異常－処置－アクセス制限</t>
  </si>
  <si>
    <t>生産計画－生産異常－発生原因－アクセス制限</t>
  </si>
  <si>
    <t>生産計画－生産異常－発生対策－アクセス制限</t>
  </si>
  <si>
    <t>生産計画－生産異常－流出原因－アクセス制限</t>
  </si>
  <si>
    <t>生産計画－生産異常－流出対策－アクセス制限</t>
  </si>
  <si>
    <t>生産計画－生産異常－効果確認－アクセス制限</t>
  </si>
  <si>
    <t>稼動計画－稼動実績基本－稼動パラメータ－稼動側識別名</t>
  </si>
  <si>
    <t>稼動計画－稼動実績能力－項目－稼動側識別名</t>
  </si>
  <si>
    <t>稼動計画－稼動実績点検－項目－稼動側識別名</t>
  </si>
  <si>
    <t>稼動計画－稼動実績交換－項目－稼動側識別名</t>
  </si>
  <si>
    <t>稼動計画－稼動実績交換－項目－交換確認</t>
  </si>
  <si>
    <t>稼動計画－稼動実績交換－項目－交換確認－アクセス制限</t>
  </si>
  <si>
    <t>稼動計画－稼動実績交換－項目－交換確認－項目</t>
  </si>
  <si>
    <t>稼動計画－稼動実績交換－項目－交換確認－項目－アクセス制限</t>
  </si>
  <si>
    <t>稼動計画－稼動実績交換－項目－交換確認－項目－稼動側識別名</t>
  </si>
  <si>
    <t>稼動計画－稼動実績交換－項目－交換確認－項目－計画値</t>
  </si>
  <si>
    <t>稼動計画－稼動実績交換－項目－交換確認－項目－条件</t>
  </si>
  <si>
    <t>稼動計画－稼動実績交換－項目－交換確認－項目－条件－計画値</t>
  </si>
  <si>
    <t>稼動計画－稼動異常－アクセス制限</t>
  </si>
  <si>
    <t>稼動計画－稼動異常－異常－アクセス制限</t>
  </si>
  <si>
    <t>稼動計画－稼動異常－処置－アクセス制限</t>
  </si>
  <si>
    <t>稼動計画－稼動異常－発生原因－アクセス制限</t>
  </si>
  <si>
    <t>稼動計画－稼動異常－発生対策－アクセス制限</t>
  </si>
  <si>
    <t>稼動計画－稼動異常－流出原因－アクセス制限</t>
  </si>
  <si>
    <t>稼動計画－稼動異常－流出対策－アクセス制限</t>
  </si>
  <si>
    <t>稼動計画－稼動異常－効果確認－アクセス制限</t>
  </si>
  <si>
    <t>稼動明細－稼動実績交換－交換確認</t>
  </si>
  <si>
    <t>稼働明細－稼動実績交換－交換確認－条件</t>
  </si>
  <si>
    <t>稼働明細－稼動実績交換－交換確認－添付</t>
  </si>
  <si>
    <t>稼動精度検査－計画</t>
  </si>
  <si>
    <t>稼動精度検査－計画－アクセス制限</t>
  </si>
  <si>
    <t>稼動精度検査－計画－項目</t>
  </si>
  <si>
    <t>稼動精度検査－計画－項目－アクセス制限</t>
  </si>
  <si>
    <t>稼動精度検査－実績</t>
  </si>
  <si>
    <t>稼動精度検査－実績－添付</t>
  </si>
  <si>
    <t>稼動インターバル検査－計画</t>
  </si>
  <si>
    <t>稼動インターバル検査－計画－アクセス制限</t>
  </si>
  <si>
    <t>稼動インターバル検査－計画－項目</t>
  </si>
  <si>
    <t>稼動インターバル検査－計画－項目－アクセス制限</t>
  </si>
  <si>
    <t>稼動インターバル検査－計画－項目－稼動側識別名</t>
  </si>
  <si>
    <t>稼動インターバール検査－計画－項目－計画値</t>
  </si>
  <si>
    <t>稼動インターバル検査－計画－項目－条件</t>
  </si>
  <si>
    <t>稼動インターバル検査－計画－項目－条件－アクセス制限</t>
  </si>
  <si>
    <t>稼動インターバル検査－計画－項目－条件－稼動側識別名</t>
  </si>
  <si>
    <t>稼動インターバル検査－計画－項目－条件－計画値</t>
  </si>
  <si>
    <t>稼動インターバル検査－実績</t>
  </si>
  <si>
    <t>稼動インターバル検査－実績－条件</t>
  </si>
  <si>
    <t>稼動インターバル検査－実績－添付</t>
  </si>
  <si>
    <t>【標準指示】稼動－稼動実績能力－アクセス制限</t>
  </si>
  <si>
    <t>【標準指示】稼動－稼動実績能力－項目－アクセス制限</t>
  </si>
  <si>
    <t>【標準指示】稼動－稼動実績点検－アクセス制限</t>
  </si>
  <si>
    <t>【標準指示】稼動－稼動実績点検－項目－アクセス制限</t>
  </si>
  <si>
    <t>【標準指示】稼動－稼動実績交換－アクセス制限</t>
  </si>
  <si>
    <t>【標準指示】稼動－稼動実績交換－項目－アクセス制限</t>
  </si>
  <si>
    <t>【標準指示】稼動－稼動実績交換－項目－交換確認</t>
  </si>
  <si>
    <t>【標準指示】稼動－稼動実績交換－項目－交換確認－アクセス制限</t>
  </si>
  <si>
    <t>【標準指示】稼動－稼動実績交換－項目－交換確認－項目</t>
  </si>
  <si>
    <t>【標準指示】稼動－稼動実績交換－項目－交換確認－項目－標準値</t>
  </si>
  <si>
    <t>【標準指示】稼動－精度検査</t>
  </si>
  <si>
    <t>【標準指示】稼動－精度検査－アクセス制限</t>
  </si>
  <si>
    <t>【標準指示】稼動－精度検査－項目</t>
  </si>
  <si>
    <t>【標準指示】稼動－精度検査－項目－アクセス制限</t>
  </si>
  <si>
    <t>【標準指示】稼動－インターバル検査</t>
  </si>
  <si>
    <t>【標準指示】稼動－インターバル検査－アクセス制限</t>
  </si>
  <si>
    <t>【標準指示】稼動－インターバル検査－項目</t>
  </si>
  <si>
    <t>【標準指示】稼動－インターバル検査－項目－アクセス制限</t>
  </si>
  <si>
    <t>【標準指示】稼動－インターバル検査－項目－標準値</t>
  </si>
  <si>
    <t>【標準指示】カテゴリ－品質異常－アクセス制限</t>
  </si>
  <si>
    <t>【標準指示】カテゴリ－品質異常－異常－アクセス制限</t>
  </si>
  <si>
    <t>【標準指示】カテゴリ－品質異常－処置－アクセス制限</t>
  </si>
  <si>
    <t>【標準指示】カテゴリ－品質異常－発生原因－アクセス制限</t>
  </si>
  <si>
    <t>【標準指示】カテゴリ－品質異常－発生対策－アクセス制限</t>
  </si>
  <si>
    <t>【標準指示】カテゴリ－品質異常－流出原因－アクセス制限</t>
  </si>
  <si>
    <t>【標準指示】カテゴリ－品質異常－流出対策－アクセス制限</t>
  </si>
  <si>
    <t>【標準指示】カテゴリ－品質異常－効果確認－アクセス制限</t>
  </si>
  <si>
    <t>【標準指示】カテゴリ－生産異常－アクセス制限</t>
  </si>
  <si>
    <t>【標準指示】カテゴリ－生産異常－異常－アクセス制限</t>
  </si>
  <si>
    <t>【標準指示】カテゴリ－生産異常－処置－アクセス制限</t>
  </si>
  <si>
    <t>【標準指示】カテゴリ－生産異常－発生原因－アクセス制限</t>
  </si>
  <si>
    <t>【標準指示】カテゴリ－生産異常－発生対策－アクセス制限</t>
  </si>
  <si>
    <t>【標準指示】カテゴリ－生産異常－流出原因－アクセス制限</t>
  </si>
  <si>
    <t>【標準指示】カテゴリ－生産異常－流出対策－アクセス制限</t>
  </si>
  <si>
    <t>【標準指示】カテゴリ－生産異常－効果確認－アクセス制限</t>
  </si>
  <si>
    <t>【標準指示】カテゴリ－稼動異常</t>
  </si>
  <si>
    <t>【標準指示】カテゴリ－稼動異常－アクセス制限</t>
  </si>
  <si>
    <t>【標準指示】カテゴリ－稼動異常－異常－アクセス制限</t>
  </si>
  <si>
    <t>【標準指示】カテゴリ－稼動異常－処置－アクセス制限</t>
  </si>
  <si>
    <t>【標準指示】カテゴリ－稼動異常－発生原因－アクセス制限</t>
  </si>
  <si>
    <t>【標準指示】カテゴリ－稼動異常－発生対策－アクセス制限</t>
  </si>
  <si>
    <t>【標準指示】カテゴリ－稼動異常－流出原因－アクセス制限</t>
  </si>
  <si>
    <t>【標準指示】カテゴリ－稼動異常－流出対策－アクセス制限</t>
  </si>
  <si>
    <t>【標準指示】カテゴリ－稼動異常－効果確認－アクセス制限</t>
  </si>
  <si>
    <t>【標準指示】拠点－品質異常－アクセス制限</t>
  </si>
  <si>
    <t>【標準指示】拠点－品質異常－異常－アクセス制限</t>
  </si>
  <si>
    <t>【標準指示】拠点－品質異常－処置－アクセス制限</t>
  </si>
  <si>
    <t>【標準指示】拠点－品質異常－発生原因－アクセス制限</t>
  </si>
  <si>
    <t>【標準指示】拠点－品質異常－発生対策－アクセス制限</t>
  </si>
  <si>
    <t>【標準指示】拠点－品質異常－流出原因－アクセス制限</t>
  </si>
  <si>
    <t>【標準指示】拠点－品質異常－流出対策－アクセス制限</t>
  </si>
  <si>
    <t>【標準指示】拠点－品質異常－効果確認－アクセス制限</t>
  </si>
  <si>
    <t>【標準指示】拠点－生産異常－アクセス制限</t>
  </si>
  <si>
    <t>【標準指示】拠点－生産異常－異常－アクセス制限</t>
  </si>
  <si>
    <t>【標準指示】拠点－生産異常－処置－アクセス制限</t>
  </si>
  <si>
    <t>【標準指示】拠点－生産異常－発生原因－アクセス制限</t>
  </si>
  <si>
    <t>【標準指示】拠点－生産異常－発生対策－アクセス制限</t>
  </si>
  <si>
    <t>【標準指示】拠点－生産異常－流出原因－アクセス制限</t>
  </si>
  <si>
    <t>【標準指示】拠点－生産異常－流出対策－アクセス制限</t>
  </si>
  <si>
    <t>【標準指示】拠点－生産異常－効果確認－アクセス制限</t>
  </si>
  <si>
    <t>【標準指示】拠点－稼動異常－アクセス制限</t>
  </si>
  <si>
    <t>【標準指示】拠点－稼動異常－異常－アクセス制限</t>
  </si>
  <si>
    <t>【標準指示】拠点－稼動異常－処置－アクセス制限</t>
  </si>
  <si>
    <t>【標準指示】拠点－稼動異常－発生原因－アクセス制限</t>
  </si>
  <si>
    <t>【標準指示】拠点－稼動異常－発生対策－アクセス制限</t>
  </si>
  <si>
    <t>【標準指示】拠点－稼動異常－流出原因－アクセス制限</t>
  </si>
  <si>
    <t>【標準指示】拠点－稼動異常－流出対策－アクセス制限</t>
  </si>
  <si>
    <t>【標準指示】拠点－稼動異常－効果確認－アクセス制限</t>
  </si>
  <si>
    <t>【標準指示】品種－品質異常－アクセス制限</t>
  </si>
  <si>
    <t>【標準指示】品種－品質異常－異常－アクセス制限</t>
  </si>
  <si>
    <t>【標準指示】品種－品質異常－処置－アクセス制限</t>
  </si>
  <si>
    <t>【標準指示】品種－品質異常－発生原因－アクセス制限</t>
  </si>
  <si>
    <t>【標準指示】品種－品質異常－発生対策－アクセス制限</t>
  </si>
  <si>
    <t>【標準指示】品種－品質異常－流出原因－アクセス制限</t>
  </si>
  <si>
    <t>【標準指示】品種－品質異常－流出対策－アクセス制限</t>
  </si>
  <si>
    <t>【標準指示】品種－品質異常－効果確認－アクセス制限</t>
  </si>
  <si>
    <t>【標準指示】品種－生産異常－アクセス制限</t>
  </si>
  <si>
    <t>【標準指示】品種－生産異常－異常－アクセス制限</t>
  </si>
  <si>
    <t>【標準指示】品種－生産異常－処置－アクセス制限</t>
  </si>
  <si>
    <t>【標準指示】品種－生産異常－発生原因－アクセス制限</t>
  </si>
  <si>
    <t>【標準指示】品種－生産異常－発生対策－アクセス制限</t>
  </si>
  <si>
    <t>【標準指示】品種－生産異常－流出原因－アクセス制限</t>
  </si>
  <si>
    <t>【標準指示】品種－生産異常－流出対策－アクセス制限</t>
  </si>
  <si>
    <t>【標準指示】品種－生産異常－効果確認－アクセス制限</t>
  </si>
  <si>
    <t>【標準指示】生産種別－品質異常－アクセス制限</t>
  </si>
  <si>
    <t>【標準指示】生産種別－品質異常－発生原因－アクセス制限</t>
  </si>
  <si>
    <t>【標準指示】生産種別－品質異常－発生対策－アクセス制限</t>
  </si>
  <si>
    <t>【標準指示】生産種別－品質異常－流出原因－アクセス制限</t>
  </si>
  <si>
    <t>【標準指示】生産種別－品質異常－流出対策－アクセス制限</t>
  </si>
  <si>
    <t>【標準指示】生産種別－品質異常－効果確認－アクセス制限</t>
  </si>
  <si>
    <t>【標準指示】生産種別－生産異常－アクセス制限</t>
  </si>
  <si>
    <t>【標準指示】生産種別－生産異常－異常－アクセス制限</t>
  </si>
  <si>
    <t>【標準指示】生産種別－生産異常－発生原因－アクセス制限</t>
  </si>
  <si>
    <t>【標準指示】生産種別－生産異常－発生対策－アクセス制限</t>
  </si>
  <si>
    <t>【標準指示】生産種別－生産異常－流出原因－アクセス制限</t>
  </si>
  <si>
    <t>【標準指示】生産種別－生産異常－流出対策－アクセス制限</t>
  </si>
  <si>
    <t>【標準指示】生産種別－生産異常－効果確認－アクセス制限</t>
  </si>
  <si>
    <t>【標準指示】稼動－稼動異常－アクセス制限</t>
  </si>
  <si>
    <t>【標準指示】稼動－稼動異常－異常－アクセス制限</t>
  </si>
  <si>
    <t>【標準指示】稼動－稼動異常－処置－アクセス制限</t>
  </si>
  <si>
    <t>【標準指示】稼動－稼動異常－発生原因－アクセス制限</t>
  </si>
  <si>
    <t>【標準指示】稼動－稼動異常－発生対策－アクセス制限</t>
  </si>
  <si>
    <t>【標準指示】稼動－稼動異常－流出原因－アクセス制限</t>
  </si>
  <si>
    <t>【標準指示】稼動－稼動異常－流出対策－アクセス制限</t>
  </si>
  <si>
    <t>【標準指示】稼動－稼動異常－効果確認－アクセス制限</t>
  </si>
  <si>
    <t>パーティショニングマスタ</t>
  </si>
  <si>
    <t>ユーザー</t>
    <phoneticPr fontId="1"/>
  </si>
  <si>
    <t>【標準指示】生産種別－生産実績基本－生産パラメータ－アクセス制</t>
    <phoneticPr fontId="1"/>
  </si>
  <si>
    <t>稼動計画－稼動付属情報</t>
  </si>
  <si>
    <t>稼動計画－稼動実績計画</t>
  </si>
  <si>
    <t>稼動計画－稼動実績計画－計画値</t>
  </si>
  <si>
    <t>稼動計画－稼動実績計画－生産計画</t>
  </si>
  <si>
    <t>稼動計画－稼動実績基本</t>
    <phoneticPr fontId="1"/>
  </si>
  <si>
    <t>稼動計画－稼動実績基本－稼動ステータス履歴－サイクルタイム－稼</t>
    <phoneticPr fontId="1"/>
  </si>
  <si>
    <t>稼動計画－稼動実績基本－稼動ステータス履歴－サイクルタイム－計</t>
  </si>
  <si>
    <t>稼動計画－稼動実績交換－項目</t>
  </si>
  <si>
    <t>稼動計画－稼動実績交換－項目－交換確認－項目－条件－アクセス制</t>
  </si>
  <si>
    <t>稼動計画－稼動実績交換－項目－交換確認－項目－条件－稼動側識別</t>
  </si>
  <si>
    <t>【標準指示】拠点－稼動実績基本－稼動ステータス履歴－アクセス制</t>
  </si>
  <si>
    <t>【標準指示】稼動－稼動実績基本－稼動ステータス履歴－サイクル1</t>
  </si>
  <si>
    <t>【標準指示】稼動－稼動実績基本－稼動ステータス履歴－サイクル2</t>
  </si>
  <si>
    <t>【標準指示】稼動－稼動実績交換－項目－交換確認－項目－条件－ア</t>
  </si>
  <si>
    <t>【標準指示】稼動－稼動実績交換－項目－交換確認－項目－条件－標</t>
  </si>
  <si>
    <t>【標準指示】生産種別－品質異常－異常－アクセス制限</t>
    <phoneticPr fontId="1"/>
  </si>
  <si>
    <t>【標準指示】生産種別－品質異常－処置－アクセス制限</t>
    <phoneticPr fontId="1"/>
  </si>
  <si>
    <t xml:space="preserve">【標準指示】生産種別－品質異常－処置－アクセス制限 </t>
    <phoneticPr fontId="1"/>
  </si>
  <si>
    <t>T_ProductionSchedule</t>
  </si>
  <si>
    <t>T_ProductionCapabilityInventory</t>
  </si>
  <si>
    <t>生産能力明細</t>
    <rPh sb="0" eb="2">
      <t>セイサン</t>
    </rPh>
    <rPh sb="2" eb="4">
      <t>ノウリョク</t>
    </rPh>
    <rPh sb="4" eb="6">
      <t>メイサイ</t>
    </rPh>
    <phoneticPr fontId="7"/>
  </si>
  <si>
    <t>測定実績</t>
    <phoneticPr fontId="1"/>
  </si>
  <si>
    <t>検査実績</t>
  </si>
  <si>
    <t>T_LatestTraceabilityResult</t>
  </si>
  <si>
    <t>最新トレーサビリティ実績</t>
  </si>
  <si>
    <t>T_TraceabilityResult</t>
  </si>
  <si>
    <t>T_FacilityOperationResult</t>
  </si>
  <si>
    <t>設備稼働実績明細</t>
    <rPh sb="6" eb="8">
      <t>メイサイ</t>
    </rPh>
    <phoneticPr fontId="7"/>
  </si>
  <si>
    <t>T_FacilityStatusHistory</t>
    <phoneticPr fontId="1"/>
  </si>
  <si>
    <t>設備ステータス履歴</t>
  </si>
  <si>
    <t>T_ErrorHandlingResult</t>
    <phoneticPr fontId="1"/>
  </si>
  <si>
    <t>M_Location</t>
    <phoneticPr fontId="1"/>
  </si>
  <si>
    <t>拠点マスタ</t>
  </si>
  <si>
    <t>M_Category</t>
  </si>
  <si>
    <t>カテゴリマスタ</t>
  </si>
  <si>
    <t>M_Line</t>
  </si>
  <si>
    <t>ラインマスタ</t>
  </si>
  <si>
    <t>M_Process1</t>
  </si>
  <si>
    <t>工程1マスタ</t>
  </si>
  <si>
    <t>M_Process2</t>
  </si>
  <si>
    <t>工程2マスタ</t>
  </si>
  <si>
    <t>M_Process3</t>
  </si>
  <si>
    <t>工程3マスタ</t>
  </si>
  <si>
    <t>M_Item1</t>
  </si>
  <si>
    <t>品種1マスタ</t>
  </si>
  <si>
    <t>M_Item2</t>
  </si>
  <si>
    <t>品種2マスタ</t>
  </si>
  <si>
    <t>M_Item3</t>
  </si>
  <si>
    <t>品種3マスタ</t>
  </si>
  <si>
    <t>M_Facility</t>
  </si>
  <si>
    <t>設備マスタ</t>
  </si>
  <si>
    <t>M_FacilityError</t>
  </si>
  <si>
    <t>設備エラーマスタ</t>
  </si>
  <si>
    <t>M_MeasurementItem</t>
  </si>
  <si>
    <t>測定項目マスタ</t>
  </si>
  <si>
    <t>M_TraceabilityItem</t>
  </si>
  <si>
    <t>トレーサビリティ項目マスタ</t>
  </si>
  <si>
    <t>M_FacilityCheckItem</t>
  </si>
  <si>
    <t>設備点検項目マスタ</t>
  </si>
  <si>
    <t>M_FacilityCheckStandardValue</t>
  </si>
  <si>
    <t>設備点検基準値マスタ</t>
  </si>
  <si>
    <t>M_FacilityCheckCorrespondingItem</t>
  </si>
  <si>
    <t>設備点検対応項目マスタ</t>
  </si>
  <si>
    <t>M_CheckItemByItem</t>
  </si>
  <si>
    <t>品種別検査項目マスタ</t>
  </si>
  <si>
    <t>M_CheckType</t>
  </si>
  <si>
    <t>検査分類マスタ</t>
  </si>
  <si>
    <t>M_CheckItem</t>
  </si>
  <si>
    <t>検査項目マスタ</t>
  </si>
  <si>
    <t>M_CheckStandardValue</t>
  </si>
  <si>
    <t>検査基準値マスタ</t>
  </si>
  <si>
    <t>M_CheckMethod</t>
  </si>
  <si>
    <t>検査方法マスタ</t>
  </si>
  <si>
    <t>M_ErrorClassified</t>
  </si>
  <si>
    <t>異常分類マスタ</t>
  </si>
  <si>
    <t>M_ErrorContents1</t>
  </si>
  <si>
    <t>異常内容1マスタ</t>
  </si>
  <si>
    <t>M_ErrorContents2</t>
  </si>
  <si>
    <t>異常内容2マスタ</t>
  </si>
  <si>
    <t>M_ErrorContents3</t>
  </si>
  <si>
    <t>異常内容3マスタ</t>
  </si>
  <si>
    <t>M_ReasonClassified</t>
  </si>
  <si>
    <t>原因分類マスタ</t>
  </si>
  <si>
    <t>M_ReasonContents</t>
  </si>
  <si>
    <t>原因内容マスタ</t>
  </si>
  <si>
    <t>M_HandｌingClassified</t>
  </si>
  <si>
    <t>対応分類マスタ</t>
  </si>
  <si>
    <t>M_HandｌingContents1</t>
  </si>
  <si>
    <t>対応内容1マスタ</t>
  </si>
  <si>
    <t>M_HandｌingContents2</t>
  </si>
  <si>
    <t>対応内容2マスタ</t>
  </si>
  <si>
    <t>M_Rank</t>
  </si>
  <si>
    <t>ランク名マスタ</t>
  </si>
  <si>
    <t>M_ResponsibleDepartment</t>
  </si>
  <si>
    <t>責任区名マスタ</t>
  </si>
  <si>
    <t>M_Capacity</t>
  </si>
  <si>
    <t>設備能力項目マスタ</t>
  </si>
  <si>
    <t>M_Status</t>
  </si>
  <si>
    <t>ステータスマスタ</t>
  </si>
  <si>
    <t>M_Coefficients</t>
  </si>
  <si>
    <t>xbar-R係数マスタ</t>
    <phoneticPr fontId="1"/>
  </si>
  <si>
    <t>M_ConvertItemCode</t>
  </si>
  <si>
    <t>品種コード変換マスタ</t>
  </si>
  <si>
    <t>M_FacilityUser</t>
  </si>
  <si>
    <t>設備稼働実績担当マスタ</t>
  </si>
  <si>
    <t>M_ErrorUser</t>
  </si>
  <si>
    <t>異常・対応実績担当マスタ</t>
  </si>
  <si>
    <t>M_FacilityCheckUser</t>
  </si>
  <si>
    <t>設備点検実績担当マスタ</t>
  </si>
  <si>
    <t>M_TraceabilityUser</t>
  </si>
  <si>
    <t>トレーサビリティ実績担当マスタ</t>
  </si>
  <si>
    <t>M_MeasuredUser</t>
  </si>
  <si>
    <t>測定実績担当マスタ</t>
  </si>
  <si>
    <t>M_CheckUser</t>
  </si>
  <si>
    <t>検査実績担当マスタ</t>
  </si>
  <si>
    <t>M_ManagementIndicator</t>
  </si>
  <si>
    <t>管理指標マスタ</t>
    <rPh sb="0" eb="2">
      <t>カンリ</t>
    </rPh>
    <rPh sb="2" eb="4">
      <t>シヒョウ</t>
    </rPh>
    <phoneticPr fontId="7"/>
  </si>
  <si>
    <t>M_Target</t>
  </si>
  <si>
    <t>目標値マスタ</t>
    <rPh sb="0" eb="3">
      <t>モクヒョウチ</t>
    </rPh>
    <phoneticPr fontId="7"/>
  </si>
  <si>
    <t>M_ManagementIndicatorType</t>
  </si>
  <si>
    <t>管理指標区分マスタ</t>
    <rPh sb="0" eb="2">
      <t>カンリ</t>
    </rPh>
    <rPh sb="2" eb="4">
      <t>シヒョウ</t>
    </rPh>
    <rPh sb="4" eb="6">
      <t>クブン</t>
    </rPh>
    <phoneticPr fontId="7"/>
  </si>
  <si>
    <t>M_CycleTime</t>
  </si>
  <si>
    <t>サイクルタイム管理マスタ</t>
    <rPh sb="7" eb="9">
      <t>カンリ</t>
    </rPh>
    <phoneticPr fontId="7"/>
  </si>
  <si>
    <t>M_LoginUser</t>
  </si>
  <si>
    <t>ログインユーザマスタ</t>
  </si>
  <si>
    <t>M_ProductionOperationDate</t>
  </si>
  <si>
    <t>生産稼働日時</t>
    <rPh sb="0" eb="2">
      <t>セイサン</t>
    </rPh>
    <rPh sb="2" eb="4">
      <t>カドウ</t>
    </rPh>
    <rPh sb="4" eb="6">
      <t>ニチジ</t>
    </rPh>
    <phoneticPr fontId="7"/>
  </si>
  <si>
    <t>M_FacilityOperationDate</t>
  </si>
  <si>
    <t>設備稼働日時</t>
    <rPh sb="0" eb="2">
      <t>セツビ</t>
    </rPh>
    <rPh sb="2" eb="4">
      <t>カドウ</t>
    </rPh>
    <rPh sb="4" eb="6">
      <t>ニチジ</t>
    </rPh>
    <phoneticPr fontId="7"/>
  </si>
  <si>
    <t>T_ApplicationLog</t>
  </si>
  <si>
    <t>M_SystemSetting</t>
  </si>
  <si>
    <t>システム設定</t>
  </si>
  <si>
    <t>M_SystemSettingDefine</t>
  </si>
  <si>
    <t>システム設定定義</t>
  </si>
  <si>
    <t>T_PasswordHistory</t>
  </si>
  <si>
    <t>パスワード変更履歴</t>
  </si>
  <si>
    <t>T_PalletMode</t>
  </si>
  <si>
    <t>パレット状態</t>
  </si>
  <si>
    <t>IF_ProductionSchedule</t>
  </si>
  <si>
    <t>生産計画IF</t>
  </si>
  <si>
    <t>IF_TraceabilitySchedule</t>
  </si>
  <si>
    <t>トレーサビリティ計画IF</t>
  </si>
  <si>
    <t>IF_TraceabilityResultOutput</t>
  </si>
  <si>
    <t>トレーサビリティ実績出力IF</t>
    <rPh sb="8" eb="10">
      <t>ジッセキ</t>
    </rPh>
    <rPh sb="10" eb="12">
      <t>シュツリョク</t>
    </rPh>
    <phoneticPr fontId="7"/>
  </si>
  <si>
    <t>IF_ProductionResultInventoryInput</t>
  </si>
  <si>
    <t xml:space="preserve">生産実績明細入力IF </t>
  </si>
  <si>
    <t>IF_ProductionResultInventoryOutput</t>
  </si>
  <si>
    <t>生産実績明細出力IF</t>
  </si>
  <si>
    <t>Temp1</t>
  </si>
  <si>
    <t>IDレスTemporary1</t>
  </si>
  <si>
    <t>Temp2</t>
  </si>
  <si>
    <t>IDレスTemporary2</t>
  </si>
  <si>
    <t>Temp3</t>
  </si>
  <si>
    <t>IDレスTemporary3</t>
  </si>
  <si>
    <t>T_ProductionResultManufacturesInventoryID</t>
  </si>
  <si>
    <t>生産実績製品明細(IDレス)</t>
    <rPh sb="0" eb="2">
      <t>セイサン</t>
    </rPh>
    <rPh sb="2" eb="4">
      <t>ジッセキ</t>
    </rPh>
    <rPh sb="4" eb="6">
      <t>セイヒン</t>
    </rPh>
    <rPh sb="6" eb="8">
      <t>メイサイ</t>
    </rPh>
    <phoneticPr fontId="7"/>
  </si>
  <si>
    <t>T_ProductionResultConstractiveInventoryID</t>
  </si>
  <si>
    <t>生産実績構成明細(IDレス)</t>
    <rPh sb="0" eb="2">
      <t>セイサン</t>
    </rPh>
    <rPh sb="2" eb="4">
      <t>ジッセキ</t>
    </rPh>
    <rPh sb="4" eb="6">
      <t>コウセイ</t>
    </rPh>
    <rPh sb="6" eb="8">
      <t>メイサイ</t>
    </rPh>
    <phoneticPr fontId="7"/>
  </si>
  <si>
    <t>T_ProductionSchedule</t>
    <phoneticPr fontId="1"/>
  </si>
  <si>
    <t>システム</t>
    <phoneticPr fontId="8"/>
  </si>
  <si>
    <t>テナント</t>
    <phoneticPr fontId="8"/>
  </si>
  <si>
    <t>アドオン</t>
    <phoneticPr fontId="8"/>
  </si>
  <si>
    <t>USER</t>
    <phoneticPr fontId="8"/>
  </si>
  <si>
    <t>ユーザー</t>
    <phoneticPr fontId="8"/>
  </si>
  <si>
    <t>USER_ROLE</t>
    <phoneticPr fontId="8"/>
  </si>
  <si>
    <t>ユーザー－ロール</t>
    <phoneticPr fontId="8"/>
  </si>
  <si>
    <t>REPRESENTATIVE</t>
    <phoneticPr fontId="8"/>
  </si>
  <si>
    <t>担当者</t>
    <phoneticPr fontId="8"/>
  </si>
  <si>
    <t>REPRESENTATIVE_ROLE</t>
    <phoneticPr fontId="8"/>
  </si>
  <si>
    <t>担当者－ロール</t>
    <phoneticPr fontId="8"/>
  </si>
  <si>
    <t>REPRESENTATIVE_PREVIOUS_STATE</t>
    <phoneticPr fontId="8"/>
  </si>
  <si>
    <t>担当者－前回状態</t>
    <phoneticPr fontId="8"/>
  </si>
  <si>
    <t>REPRESENTATIVE_FUNCTION_SELECT_CONDITIONS</t>
    <phoneticPr fontId="8"/>
  </si>
  <si>
    <t>担当者－機能別選択条件</t>
    <phoneticPr fontId="8"/>
  </si>
  <si>
    <t>ROLE</t>
    <phoneticPr fontId="8"/>
  </si>
  <si>
    <t>ロール</t>
    <phoneticPr fontId="8"/>
  </si>
  <si>
    <t>ENTERPRISE</t>
    <phoneticPr fontId="8"/>
  </si>
  <si>
    <t>事業</t>
    <phoneticPr fontId="8"/>
  </si>
  <si>
    <t>ENTERPRISE_RESTRICTION</t>
    <phoneticPr fontId="8"/>
  </si>
  <si>
    <t>事業－アクセス制限</t>
    <phoneticPr fontId="8"/>
  </si>
  <si>
    <t>CATEGORY</t>
    <phoneticPr fontId="8"/>
  </si>
  <si>
    <t>カテゴリ</t>
    <phoneticPr fontId="8"/>
  </si>
  <si>
    <t>CATEGORY_RESTRICTION</t>
    <phoneticPr fontId="8"/>
  </si>
  <si>
    <t>カテゴリ－アクセス制限</t>
    <phoneticPr fontId="8"/>
  </si>
  <si>
    <t>LOCATION</t>
    <phoneticPr fontId="8"/>
  </si>
  <si>
    <t>拠点</t>
    <phoneticPr fontId="8"/>
  </si>
  <si>
    <t>LOCATION_SELECT</t>
    <phoneticPr fontId="8"/>
  </si>
  <si>
    <t>拠点選択</t>
    <phoneticPr fontId="8"/>
  </si>
  <si>
    <t>LOCATION_DISPLAY_LEVEL</t>
    <phoneticPr fontId="8"/>
  </si>
  <si>
    <t>拠点表示階層</t>
    <phoneticPr fontId="8"/>
  </si>
  <si>
    <t>LOCATION_RESTRICTION</t>
    <phoneticPr fontId="8"/>
  </si>
  <si>
    <t>拠点－アクセス制限</t>
    <phoneticPr fontId="8"/>
  </si>
  <si>
    <t>PRODUCT_SELECT</t>
    <phoneticPr fontId="8"/>
  </si>
  <si>
    <t>品種選択</t>
    <phoneticPr fontId="8"/>
  </si>
  <si>
    <t>PRODUCT_DISPLAY_LEVEL</t>
    <phoneticPr fontId="8"/>
  </si>
  <si>
    <t>品種表示階層</t>
    <phoneticPr fontId="8"/>
  </si>
  <si>
    <t>PRODUCTION_TYPE_SELECT</t>
    <phoneticPr fontId="8"/>
  </si>
  <si>
    <t>生産種別選択</t>
    <phoneticPr fontId="8"/>
  </si>
  <si>
    <t>PRODUCTION_TYPE_DISPLAY_LEVEL</t>
    <phoneticPr fontId="8"/>
  </si>
  <si>
    <t>生産種別表示階層</t>
    <phoneticPr fontId="8"/>
  </si>
  <si>
    <t>OPERATE_SELECT</t>
    <phoneticPr fontId="8"/>
  </si>
  <si>
    <t>稼動選択</t>
    <phoneticPr fontId="8"/>
  </si>
  <si>
    <t>OPERATE_DISPLAY_LEVEL</t>
    <phoneticPr fontId="8"/>
  </si>
  <si>
    <t>稼動表示階層</t>
    <phoneticPr fontId="8"/>
  </si>
  <si>
    <t>PRODUCTION_PLAN</t>
    <phoneticPr fontId="8"/>
  </si>
  <si>
    <t>生産計画</t>
    <phoneticPr fontId="8"/>
  </si>
  <si>
    <t>PRODUCTION_PLAN_RESTRICTION</t>
    <phoneticPr fontId="8"/>
  </si>
  <si>
    <t>生産計画－アクセス制限</t>
    <phoneticPr fontId="8"/>
  </si>
  <si>
    <t>PRODUCTION_PLAN_OPERATE_CODE</t>
    <phoneticPr fontId="8"/>
  </si>
  <si>
    <t>生産計画－稼動側識別名</t>
    <phoneticPr fontId="8"/>
  </si>
  <si>
    <t>PRODUCTION_PLAN_PRODUCT_ATTACHEDINFO</t>
    <phoneticPr fontId="8"/>
  </si>
  <si>
    <t>生産計画－品種付属情報</t>
    <phoneticPr fontId="8"/>
  </si>
  <si>
    <t>PRODUCTION_PLAN_PRODUCTION_PLAN</t>
    <phoneticPr fontId="8"/>
  </si>
  <si>
    <t>生産計画－生産実績計画</t>
    <phoneticPr fontId="8"/>
  </si>
  <si>
    <t>PRODUCTION_PLAN_PRODUCTION_PLAN_RESTRICTION</t>
    <phoneticPr fontId="8"/>
  </si>
  <si>
    <t>生産計画－生産実績計画－アクセス制限</t>
    <phoneticPr fontId="8"/>
  </si>
  <si>
    <t>PRODUCTION_PLAN_PRODUCTION_PLAN_PLANNED_VALUE</t>
    <phoneticPr fontId="8"/>
  </si>
  <si>
    <t>生産計画－生産実績計画－計画値</t>
    <phoneticPr fontId="8"/>
  </si>
  <si>
    <t>PRODUCTION_PLAN_PRODUCTION_BASIC</t>
    <phoneticPr fontId="8"/>
  </si>
  <si>
    <t>生産計画－生産実績基本</t>
    <phoneticPr fontId="8"/>
  </si>
  <si>
    <t>PRODUCTION_PLAN_PRODUCTION_BASIC_RESTRICTION</t>
    <phoneticPr fontId="8"/>
  </si>
  <si>
    <t>生産計画－生産実績基本－アクセス制限</t>
    <phoneticPr fontId="8"/>
  </si>
  <si>
    <t>PRODUCTION_PLAN_PRODUCTION_BASIC_PARAMETER</t>
    <phoneticPr fontId="8"/>
  </si>
  <si>
    <t>生産計画－生産実績基本－生産パラメータ</t>
    <phoneticPr fontId="8"/>
  </si>
  <si>
    <t>PRODUCTION_PLAN_PRODUCTION_BASIC_PARAMETER_RESTRICTION</t>
    <phoneticPr fontId="8"/>
  </si>
  <si>
    <t>生産計画－生産実績基本－生産パラメータ－アクセス制限</t>
    <phoneticPr fontId="8"/>
  </si>
  <si>
    <t>PRODUCTION_PLAN_PRODUCTION_BASIC_PARAMETER_OPERATE_CODE</t>
    <phoneticPr fontId="8"/>
  </si>
  <si>
    <t>生産計画－生産実績基本－生産パラメータ－稼動側識別名</t>
    <phoneticPr fontId="8"/>
  </si>
  <si>
    <t>PRODUCTION_PLAN_PRODUCTION_BASIC_PARAMETER_PLANNED_VALUE</t>
    <phoneticPr fontId="8"/>
  </si>
  <si>
    <t>生産計画－生産実績基本－生産パラメータ－計画値</t>
    <phoneticPr fontId="8"/>
  </si>
  <si>
    <t>PRODUCTION_PLAN_PRODUCTION_SETUP</t>
    <phoneticPr fontId="8"/>
  </si>
  <si>
    <t>生産計画－生産実績段取</t>
    <phoneticPr fontId="8"/>
  </si>
  <si>
    <t>PRODUCTION_PLAN_PRODUCTION_SETUP_RESTRICTION</t>
    <phoneticPr fontId="8"/>
  </si>
  <si>
    <t>生産計画－生産実績段取－アクセス制限</t>
    <phoneticPr fontId="8"/>
  </si>
  <si>
    <t>PRODUCTION_PLAN_PRODUCTION_SETUP_ITEM</t>
    <phoneticPr fontId="8"/>
  </si>
  <si>
    <t>生産計画－生産実績段取－項目</t>
    <phoneticPr fontId="8"/>
  </si>
  <si>
    <t>PRODUCTION_PLAN_PRODUCTION_SETUP_ITEM_RESTRICTION</t>
    <phoneticPr fontId="8"/>
  </si>
  <si>
    <t>生産計画－生産実績段取－項目－アクセス制限</t>
    <phoneticPr fontId="8"/>
  </si>
  <si>
    <t>PRODUCTION_PLAN_PRODUCTION_SETUP_ITEM_OPERATE_CODE</t>
    <phoneticPr fontId="8"/>
  </si>
  <si>
    <t>生産計画－生産実績段取－項目－稼動側識別名</t>
    <phoneticPr fontId="8"/>
  </si>
  <si>
    <t>PRODUCTION_PLAN_PROCESSGROUP</t>
    <phoneticPr fontId="8"/>
  </si>
  <si>
    <t>生産計画－工程分類</t>
    <phoneticPr fontId="8"/>
  </si>
  <si>
    <t>PRODUCTION_PLAN_PROCESSGROUP_RESTRICTION</t>
    <phoneticPr fontId="8"/>
  </si>
  <si>
    <t>生産計画－工程分類－アクセス制限</t>
    <phoneticPr fontId="8"/>
  </si>
  <si>
    <t>PRODUCTION_PLAN_PROCESSGROUP_OPERATE_CODE</t>
    <phoneticPr fontId="8"/>
  </si>
  <si>
    <t>生産計画－工程分類－稼動側識別名</t>
    <phoneticPr fontId="8"/>
  </si>
  <si>
    <t>PRODUCTION_PLAN_PROCESSGROUP_PROCESS</t>
    <phoneticPr fontId="8"/>
  </si>
  <si>
    <t>生産計画－工程分類－工程</t>
    <phoneticPr fontId="8"/>
  </si>
  <si>
    <t>PRODUCTION_PLAN_PROCESSGROUP_PROCESS_RESTRICTION</t>
    <phoneticPr fontId="8"/>
  </si>
  <si>
    <t>生産計画－工程分類－工程－アクセス制限</t>
    <phoneticPr fontId="8"/>
  </si>
  <si>
    <t>PRODUCTION_PLAN_PROCESSGROUP_PROCESS_OPERATE_CODE</t>
    <phoneticPr fontId="8"/>
  </si>
  <si>
    <t>生産計画－工程分類－工程－稼動側識別名</t>
    <phoneticPr fontId="8"/>
  </si>
  <si>
    <t>PRODUCTION_PLAN_PROCESS_PRODUCTION_PLAN</t>
    <phoneticPr fontId="8"/>
  </si>
  <si>
    <t>生産計画－工程－生産実績計画</t>
    <phoneticPr fontId="8"/>
  </si>
  <si>
    <t>PRODUCTION_PLAN_PROCESS_PRODUCTION_PLAN_RESTRICTION</t>
    <phoneticPr fontId="8"/>
  </si>
  <si>
    <t>生産計画－工程－生産実績計画－アクセス制限</t>
    <phoneticPr fontId="8"/>
  </si>
  <si>
    <t>PRODUCTION_PLAN_PROCESS_PRODUCTION_PLAN_PLANNED_VALUE</t>
    <phoneticPr fontId="8"/>
  </si>
  <si>
    <t>生産計画－工程－生産実績計画－計画値</t>
    <phoneticPr fontId="8"/>
  </si>
  <si>
    <t>PRODUCTION_PLAN_PROCESS_PRODUCTION_BASIC_RESTRICTION</t>
    <phoneticPr fontId="8"/>
  </si>
  <si>
    <t>生産計画－工程－生産実績基本－アクセス制限</t>
    <phoneticPr fontId="8"/>
  </si>
  <si>
    <t>PRODUCTION_PLAN_PROCESS_PRODUCTION_BASIC_PARAMETER</t>
    <phoneticPr fontId="8"/>
  </si>
  <si>
    <t>生産計画－工程－生産実績基本－生産パラメータ</t>
    <phoneticPr fontId="8"/>
  </si>
  <si>
    <t>PRODUCTION_PLAN_PROCESS_PRODUCTION_BASIC_PARAMETER_RESTRICTION</t>
    <phoneticPr fontId="8"/>
  </si>
  <si>
    <t>生産計画－工程－生産実績基本－生産パラメータ－アクセス制限</t>
    <phoneticPr fontId="8"/>
  </si>
  <si>
    <t>PRODUCTION_PLAN_PROCESS_PRODUCTION_BASIC_PARAMETER_OPERATE_CODE</t>
    <phoneticPr fontId="8"/>
  </si>
  <si>
    <t>生産計画－工程－生産実績基本－生産パラメータ－稼動側識別名</t>
    <phoneticPr fontId="8"/>
  </si>
  <si>
    <t>PRODUCTION_PLAN_PROCESS_PRODUCTION_BASIC_PARAMETER_PLANNED_VALUE</t>
    <phoneticPr fontId="8"/>
  </si>
  <si>
    <t>生産計画－工程－生産実績基本－生産パラメータ－計画値</t>
    <phoneticPr fontId="8"/>
  </si>
  <si>
    <t>PRODUCTION_PLAN_PROCESS_PRODUCTION_BASIC_HISTORY_OCCURRENCE_BREAKDOWN</t>
    <phoneticPr fontId="8"/>
  </si>
  <si>
    <t>生産計画－工程－生産実績基本－工程履歴－発生内訳</t>
    <phoneticPr fontId="8"/>
  </si>
  <si>
    <t>PRODUCTION_PLAN_PROCESS_PRODUCTION_BASIC_HISTORY_OCCURRENCE_BREAKDOWN_OPERATE_CODE</t>
    <phoneticPr fontId="8"/>
  </si>
  <si>
    <t>生産計画－工程－生産実績基本－工程履歴－発生内訳－稼動側識別名</t>
    <phoneticPr fontId="8"/>
  </si>
  <si>
    <t>PRODUCTION_PLAN_PROCESS_PRODUCTION_BASIC_LOT</t>
    <phoneticPr fontId="8"/>
  </si>
  <si>
    <t>生産計画－工程－生産実績基本－ロット管理</t>
    <phoneticPr fontId="8"/>
  </si>
  <si>
    <t>PRODUCTION_PLAN_PROCESS_PRODUCTION_BASIC_LOT_RESTRICTION</t>
    <phoneticPr fontId="8"/>
  </si>
  <si>
    <t>生産計画－工程－生産実績基本－ロット管理－アクセス制限</t>
    <phoneticPr fontId="8"/>
  </si>
  <si>
    <t>PRODUCTION_PLAN_PROCESS_PRODUCTION_BASIC_LOT_PLANNED_VALUE</t>
    <phoneticPr fontId="8"/>
  </si>
  <si>
    <t>生産計画－工程－生産実績基本－ロット管理－計画値</t>
    <phoneticPr fontId="8"/>
  </si>
  <si>
    <t>PRODUCTION_PLAN_PROCESS_PRODUCTION_COMPONENTS</t>
    <phoneticPr fontId="8"/>
  </si>
  <si>
    <t>生産計画－工程－生産実績構成</t>
    <phoneticPr fontId="8"/>
  </si>
  <si>
    <t>PRODUCTION_PLAN_PROCESS_PRODUCTION_COMPONENTS_RESTRICTION</t>
    <phoneticPr fontId="8"/>
  </si>
  <si>
    <t>生産計画－工程－生産実績構成－アクセス制限</t>
    <phoneticPr fontId="8"/>
  </si>
  <si>
    <t>PRODUCTION_PLAN_PROCESS_PRODUCTION_COMPONENTS_ITEM</t>
    <phoneticPr fontId="8"/>
  </si>
  <si>
    <t>生産計画－工程－生産実績構成－項目</t>
    <phoneticPr fontId="8"/>
  </si>
  <si>
    <t>PRODUCTION_PLAN_PROCESS_PRODUCTION_COMPONENTS_ITEM_RESTRICTION</t>
    <phoneticPr fontId="8"/>
  </si>
  <si>
    <t>生産計画－工程－生産実績構成－項目－アクセス制限</t>
    <phoneticPr fontId="8"/>
  </si>
  <si>
    <t>PRODUCTION_PLAN_PROCESS_PRODUCTION_COMPONENTS_ITEM_OPERATE_CODE</t>
    <phoneticPr fontId="8"/>
  </si>
  <si>
    <t>生産計画－工程－生産実績構成－項目－稼動側識別名</t>
    <phoneticPr fontId="8"/>
  </si>
  <si>
    <t>PRODUCTION_PLAN_PROCESS_PRODUCTION_COMPONENTS_ITEM_PLANNED_VALUE</t>
    <phoneticPr fontId="8"/>
  </si>
  <si>
    <t>生産計画－工程－生産実績構成－項目－計画値</t>
    <phoneticPr fontId="8"/>
  </si>
  <si>
    <t>PRODUCTION_PLAN_PROCESS_PRODUCTION_WORK</t>
    <phoneticPr fontId="8"/>
  </si>
  <si>
    <t>生産計画－工程－生産実績作業</t>
    <phoneticPr fontId="8"/>
  </si>
  <si>
    <t>PRODUCTION_PLAN_PROCESS_PRODUCTION_WORK_RESTRICTION</t>
    <phoneticPr fontId="8"/>
  </si>
  <si>
    <t>生産計画－工程－生産実績作業－アクセス制限</t>
    <phoneticPr fontId="8"/>
  </si>
  <si>
    <t>PRODUCTION_PLAN_PROCESS_PRODUCTION_WORK_ITEM</t>
    <phoneticPr fontId="8"/>
  </si>
  <si>
    <t>生産計画－工程－生産実績作業－項目</t>
    <phoneticPr fontId="8"/>
  </si>
  <si>
    <t>PRODUCTION_PLAN_PROCESS_PRODUCTION_WORK_ITEM_RESTRICTION</t>
    <phoneticPr fontId="8"/>
  </si>
  <si>
    <t>生産計画－工程－生産実績作業－項目－アクセス制限</t>
    <phoneticPr fontId="8"/>
  </si>
  <si>
    <t>PRODUCTION_PLAN_PROCESS_PRODUCTION_WORK_ITEM_OPERATE_CODE</t>
    <phoneticPr fontId="8"/>
  </si>
  <si>
    <t>生産計画－工程－生産実績作業－項目－稼動側識別名</t>
    <phoneticPr fontId="8"/>
  </si>
  <si>
    <t>PRODUCTION_PLAN_PROCESS_PRODUCTION_INSPECTION</t>
    <phoneticPr fontId="8"/>
  </si>
  <si>
    <t>生産計画－工程－生産実績検査</t>
    <phoneticPr fontId="8"/>
  </si>
  <si>
    <t>PRODUCTION_PLAN_PROCESS_PRODUCTION_INSPECTION_RESTRICTION</t>
    <phoneticPr fontId="8"/>
  </si>
  <si>
    <t>生産計画－工程－生産実績検査－アクセス制限</t>
    <phoneticPr fontId="8"/>
  </si>
  <si>
    <t>PRODUCTION_PLAN_PROCESS_PRODUCTION_INSPECTION_ITEM</t>
    <phoneticPr fontId="8"/>
  </si>
  <si>
    <t>生産計画－工程－生産実績検査－項目</t>
    <phoneticPr fontId="8"/>
  </si>
  <si>
    <t>PRODUCTION_PLAN_PROCESS_PRODUCTION_INSPECTION_ITEM_RESTRICTION</t>
    <phoneticPr fontId="8"/>
  </si>
  <si>
    <t>生産計画－工程－生産実績検査－項目－アクセス制限</t>
    <phoneticPr fontId="8"/>
  </si>
  <si>
    <t>PRODUCTION_PLAN_PROCESS_PRODUCTION_INSPECTION_ITEM_OPERATE_CODE</t>
    <phoneticPr fontId="8"/>
  </si>
  <si>
    <t>生産計画－工程－生産実績検査－項目－稼動側識別名</t>
    <phoneticPr fontId="8"/>
  </si>
  <si>
    <t>PRODUCTION_PLAN_PROCESS_PRODUCTION_INSPECTION_ITEM_PLANNED_VALUE</t>
    <phoneticPr fontId="8"/>
  </si>
  <si>
    <t>生産計画－工程－生産実績検査－項目－計画値</t>
    <phoneticPr fontId="8"/>
  </si>
  <si>
    <t>PRODUCTION_PLAN_PROCESS_PRODUCTION_INSPECTION_ITEM_SELECT_LIST</t>
    <phoneticPr fontId="8"/>
  </si>
  <si>
    <t>生産計画－工程－生産実績検査－項目－選択肢</t>
    <phoneticPr fontId="8"/>
  </si>
  <si>
    <t>PRODUCTION_PLAN_PROCESS_PRODUCTION_INSPECTION_ITEM_SELECT_LIST_OPERATE_CODE</t>
    <phoneticPr fontId="8"/>
  </si>
  <si>
    <t>生産計画－工程－生産実績検査－項目－選択肢－稼動側識別名</t>
    <phoneticPr fontId="8"/>
  </si>
  <si>
    <t>PRODUCTION_PLAN_PROCESS_PRODUCTION_INSPECTION_ITEM_CONDITION</t>
    <phoneticPr fontId="8"/>
  </si>
  <si>
    <t>生産計画－工程－生産実績検査－項目－条件</t>
    <phoneticPr fontId="8"/>
  </si>
  <si>
    <t>PRODUCTION_PLAN_PROCESS_PRODUCTION_INSPECTION_ITEM_CONDITION_RESTRICTION</t>
    <phoneticPr fontId="8"/>
  </si>
  <si>
    <t>生産計画－工程－生産実績検査－項目－条件－アクセス制限</t>
    <phoneticPr fontId="8"/>
  </si>
  <si>
    <t>PRODUCTION_PLAN_PROCESS_PRODUCTION_INSPECTION_ITEM_CONDITION_OPERATE_CODE</t>
    <phoneticPr fontId="8"/>
  </si>
  <si>
    <t>生産計画－工程－生産実績検査－項目－条件－稼動側識別名</t>
    <phoneticPr fontId="8"/>
  </si>
  <si>
    <t>PRODUCTION_PLAN_PROCESS_PRODUCTION_INSPECTION_ITEM_CONDITION_PLANNED_VALUE</t>
    <phoneticPr fontId="8"/>
  </si>
  <si>
    <t>生産計画－工程－生産実績検査－項目－条件－計画値</t>
    <phoneticPr fontId="8"/>
  </si>
  <si>
    <t>PRODUCTION_PLAN_PROCESS_PRODUCTION_MEASUREMENT</t>
    <phoneticPr fontId="8"/>
  </si>
  <si>
    <t>生産計画－工程－生産実績測定</t>
    <phoneticPr fontId="8"/>
  </si>
  <si>
    <t>PRODUCTION_PLAN_PROCESS_PRODUCTION_MEASUREMENT_RESTRICTION</t>
    <phoneticPr fontId="8"/>
  </si>
  <si>
    <t>生産計画－工程－生産実績測定－アクセス制限</t>
    <phoneticPr fontId="8"/>
  </si>
  <si>
    <t>PRODUCTION_PLAN_PROCESS_PRODUCTION_MEASUREMENT_ITEM</t>
    <phoneticPr fontId="8"/>
  </si>
  <si>
    <t>生産計画－工程－生産実績測定－項目</t>
    <phoneticPr fontId="8"/>
  </si>
  <si>
    <t>PRODUCTION_PLAN_PROCESS_PRODUCTION_MEASUREMENT_ITEM_RESTRICTION</t>
    <phoneticPr fontId="8"/>
  </si>
  <si>
    <t>生産計画－工程－生産実績測定－項目－アクセス制限</t>
    <phoneticPr fontId="8"/>
  </si>
  <si>
    <t>PRODUCTION_PLAN_PROCESS_PRODUCTION_MEASUREMENT_ITEM_OPERATE_CODE</t>
    <phoneticPr fontId="8"/>
  </si>
  <si>
    <t>生産計画－工程－生産実績測定－項目－稼動側識別名</t>
    <phoneticPr fontId="8"/>
  </si>
  <si>
    <t>PRODUCTION_PLAN_PROCESS_PRODUCTION_MEASUREMENT_ITEM_PLANNED_VALUE</t>
    <phoneticPr fontId="8"/>
  </si>
  <si>
    <t>生産計画－工程－生産実績測定－項目－計画値</t>
    <phoneticPr fontId="8"/>
  </si>
  <si>
    <t>PRODUCTION_PLAN_PROCESS_PRODUCTION_MEASUREMENT_ITEM_CONDITION</t>
    <phoneticPr fontId="8"/>
  </si>
  <si>
    <t>生産計画－工程－生産実績測定－項目－条件</t>
    <phoneticPr fontId="8"/>
  </si>
  <si>
    <t>PRODUCTION_PLAN_PROCESS_PRODUCTION_MEASUREMENT_ITEM_CONDITION_RESTRICTION</t>
    <phoneticPr fontId="8"/>
  </si>
  <si>
    <t>生産計画－工程－生産実績測定－項目－条件－アクセス制限</t>
    <phoneticPr fontId="8"/>
  </si>
  <si>
    <t>PRODUCTION_PLAN_PROCESS_PRODUCTION_MEASUREMENT_ITEM_CONDITION_OPERATE_CODE</t>
    <phoneticPr fontId="8"/>
  </si>
  <si>
    <t>生産計画－工程－生産実績測定－項目－条件－稼動側識別名</t>
    <phoneticPr fontId="8"/>
  </si>
  <si>
    <t>PRODUCTION_PLAN_PROCESS_PRODUCTION_MEASUREMENT_ITEM_CONDITION_PLANNED_VALUE</t>
    <phoneticPr fontId="8"/>
  </si>
  <si>
    <t>生産計画－工程－生産実績測定－項目－条件－計画値</t>
    <phoneticPr fontId="8"/>
  </si>
  <si>
    <t>PRODUCTION_PLAN_QUALITY_ANOMALY</t>
    <phoneticPr fontId="8"/>
  </si>
  <si>
    <t>生産計画－品質異常</t>
    <phoneticPr fontId="8"/>
  </si>
  <si>
    <t>PRODUCTION_PLAN_QUALITY_ANOMALY_RESTRICTION</t>
    <phoneticPr fontId="8"/>
  </si>
  <si>
    <t>生産計画－品質異常－アクセス制限</t>
    <phoneticPr fontId="8"/>
  </si>
  <si>
    <t>PRODUCTION_PLAN_QUALITY_ANOMALY_ANOMALY_RESTRICTION</t>
    <phoneticPr fontId="8"/>
  </si>
  <si>
    <t>生産計画－品質異常－異常－アクセス制限</t>
    <phoneticPr fontId="8"/>
  </si>
  <si>
    <t>PRODUCTION_PLAN_QUALITY_ANOMALY_TREAT_RESTRICTION</t>
    <phoneticPr fontId="8"/>
  </si>
  <si>
    <t>生産計画－品質異常－処置－アクセス制限</t>
    <phoneticPr fontId="8"/>
  </si>
  <si>
    <t>PRODUCTION_PLAN_QUALITY_ANOMALY_OCCURRENCE_CAUSE_RESTRICTION</t>
    <phoneticPr fontId="8"/>
  </si>
  <si>
    <t>生産計画－品質異常－発生原因－アクセス制限</t>
    <phoneticPr fontId="8"/>
  </si>
  <si>
    <t>PRODUCTION_PLAN_QUALITY_ANOMALY_OCCURRENCE_MEASURE_RESTRICTION</t>
    <phoneticPr fontId="8"/>
  </si>
  <si>
    <t>生産計画－品質異常－発生対策－アクセス制限</t>
    <phoneticPr fontId="8"/>
  </si>
  <si>
    <t>PRODUCTION_PLAN_QUALITY_ANOMALY_SPILL_CAUSE_RESTRICTION</t>
    <phoneticPr fontId="8"/>
  </si>
  <si>
    <t>生産計画－品質異常－流出原因－アクセス制限</t>
    <phoneticPr fontId="8"/>
  </si>
  <si>
    <t>PRODUCTION_PLAN_QUALITY_ANOMALY_SPILL_MEASURE_RESTRICTION</t>
    <phoneticPr fontId="8"/>
  </si>
  <si>
    <t>生産計画－品質異常－流出対策－アクセス制限</t>
    <phoneticPr fontId="8"/>
  </si>
  <si>
    <t>PRODUCTION_PLAN_QUALITY_ANOMALY_CONFIRM_RESTRICTION</t>
    <phoneticPr fontId="8"/>
  </si>
  <si>
    <t>生産計画－品質異常－効果確認－アクセス制限</t>
    <phoneticPr fontId="8"/>
  </si>
  <si>
    <t>PRODUCTION_PLAN_QUALITY_ANOMALY_ANOMALY</t>
    <phoneticPr fontId="8"/>
  </si>
  <si>
    <t>生産計画－品質異常－異常(区分)</t>
    <phoneticPr fontId="8"/>
  </si>
  <si>
    <t>PRODUCTION_PLAN_QUALITY_ANOMALY_ANOMALY_RANK</t>
    <phoneticPr fontId="8"/>
  </si>
  <si>
    <t>生産計画－品質異常－異常(ランク)</t>
    <phoneticPr fontId="8"/>
  </si>
  <si>
    <t>PRODUCTION_PLAN_QUALITY_ANOMALY_ANOMALY_LINEOUT</t>
    <phoneticPr fontId="8"/>
  </si>
  <si>
    <t>生産計画－品質異常－異常(ライン落ち)</t>
    <phoneticPr fontId="8"/>
  </si>
  <si>
    <t>PRODUCTION_PLAN_QUALITY_ANOMALY_ANOMALY_SOMETHING</t>
    <phoneticPr fontId="8"/>
  </si>
  <si>
    <t>生産計画－品質異常－異常(何変)</t>
    <phoneticPr fontId="8"/>
  </si>
  <si>
    <t>PRODUCTION_PLAN_QUALITY_ANOMALY_ANOMALY_DISCOVER_SECTION</t>
    <phoneticPr fontId="8"/>
  </si>
  <si>
    <t>生産計画－品質異常－異常(発見区)</t>
    <phoneticPr fontId="8"/>
  </si>
  <si>
    <t>PRODUCTION_PLAN_QUALITY_ANOMALY_TREAT_CATEGORY</t>
    <phoneticPr fontId="8"/>
  </si>
  <si>
    <t>生産計画－品質異常－処置(分類)</t>
    <phoneticPr fontId="8"/>
  </si>
  <si>
    <t>PRODUCTION_PLAN_QUALITY_ANOMALY_TREAT_UNREPEAT</t>
    <phoneticPr fontId="8"/>
  </si>
  <si>
    <t>生産計画－品質異常－処置(不再現)</t>
    <phoneticPr fontId="8"/>
  </si>
  <si>
    <t>PRODUCTION_PLAN_QUALITY_ANOMALY_OCCURRENCE_CAUSE_CATEGORY</t>
    <phoneticPr fontId="8"/>
  </si>
  <si>
    <t>生産計画－品質異常－発生原因(分類)</t>
    <phoneticPr fontId="8"/>
  </si>
  <si>
    <t>PRODUCTION_PLAN_QUALITY_ANOMALY_OCCURRENCE_CAUSE_RESPONSIBLE_SECTION</t>
    <phoneticPr fontId="8"/>
  </si>
  <si>
    <t>生産計画－品質異常－発生原因(責任区)</t>
    <phoneticPr fontId="8"/>
  </si>
  <si>
    <t>PRODUCTION_PLAN_QUALITY_ANOMALY_OCCURRENCE_CAUSE_OCCURRENCE_SECTION</t>
    <phoneticPr fontId="8"/>
  </si>
  <si>
    <t>生産計画－品質異常－発生原因(発生区)</t>
    <phoneticPr fontId="8"/>
  </si>
  <si>
    <t>PRODUCTION_PLAN_QUALITY_ANOMALY_OCCURRENCE_MEASURE_CATEGORY</t>
    <phoneticPr fontId="8"/>
  </si>
  <si>
    <t>生産計画－品質異常－発生対策(分類)</t>
    <phoneticPr fontId="8"/>
  </si>
  <si>
    <t>PRODUCTION_PLAN_QUALITY_ANOMALY_SPILL_CAUSE_CATEGORY</t>
    <phoneticPr fontId="8"/>
  </si>
  <si>
    <t>生産計画－品質異常－流出原因(分類)</t>
    <phoneticPr fontId="8"/>
  </si>
  <si>
    <t>PRODUCTION_PLAN_QUALITY_ANOMALY_SPILL_CAUSE_RESPONSIBLE_SECTION</t>
    <phoneticPr fontId="8"/>
  </si>
  <si>
    <t>生産計画－品質異常－流出原因(責任区)</t>
    <phoneticPr fontId="8"/>
  </si>
  <si>
    <t>PRODUCTION_PLAN_QUALITY_ANOMALY_SPILL_CAUSE_OCCURRENCE_SECTION</t>
    <phoneticPr fontId="8"/>
  </si>
  <si>
    <t>生産計画－品質異常－流出原因(発生区)</t>
    <phoneticPr fontId="8"/>
  </si>
  <si>
    <t>PRODUCTION_PLAN_QUALITY_ANOMALY_SPILL_MEASURE_CATEGORY</t>
    <phoneticPr fontId="8"/>
  </si>
  <si>
    <t>生産計画－品質異常－流出対策(分類)</t>
    <phoneticPr fontId="8"/>
  </si>
  <si>
    <t>PRODUCTION_PLAN_QUALITY_ANOMALY_CONFIRM_DECISION</t>
    <phoneticPr fontId="8"/>
  </si>
  <si>
    <t>生産計画－品質異常－効果確認(判定)</t>
    <phoneticPr fontId="8"/>
  </si>
  <si>
    <t>PRODUCTION_PLAN_QUALITY_ANOMALY_CONFIRM_CONTENT</t>
    <phoneticPr fontId="8"/>
  </si>
  <si>
    <t>生産計画－品質異常－効果確認(内容)</t>
    <phoneticPr fontId="8"/>
  </si>
  <si>
    <t>PRODUCTION_PLAN_QUALITY_ANOMALY_SET</t>
    <phoneticPr fontId="8"/>
  </si>
  <si>
    <t>生産計画－品質異常セット</t>
    <phoneticPr fontId="8"/>
  </si>
  <si>
    <t>PRODUCTION_PLAN_PRODUCTION_ANOMALY</t>
    <phoneticPr fontId="8"/>
  </si>
  <si>
    <t>生産計画－生産異常</t>
    <phoneticPr fontId="8"/>
  </si>
  <si>
    <t>PRODUCTION_PLAN_PRODUCTION_ANOMALY_RESTRICTION</t>
    <phoneticPr fontId="8"/>
  </si>
  <si>
    <t>生産計画－生産異常－アクセス制限</t>
    <phoneticPr fontId="8"/>
  </si>
  <si>
    <t>PRODUCTION_PLAN_PRODUCTION_ANOMALY_ANOMALY_RESTRICTION</t>
    <phoneticPr fontId="8"/>
  </si>
  <si>
    <t>生産計画－生産異常－異常－アクセス制限</t>
    <phoneticPr fontId="8"/>
  </si>
  <si>
    <t>PRODUCTION_PLAN_PRODUCTION_ANOMALY_TREAT_RESTRICTION</t>
    <phoneticPr fontId="8"/>
  </si>
  <si>
    <t>生産計画－生産異常－処置－アクセス制限</t>
    <phoneticPr fontId="8"/>
  </si>
  <si>
    <t>PRODUCTION_PLAN_PRODUCTION_ANOMALY_OCCURRENCE_CAUSE_RESTRICTION</t>
    <phoneticPr fontId="8"/>
  </si>
  <si>
    <t>生産計画－生産異常－発生原因－アクセス制限</t>
    <phoneticPr fontId="8"/>
  </si>
  <si>
    <t>PRODUCTION_PLAN_PRODUCTION_ANOMALY_OCCURRENCE_MEASURE_RESTRICTION</t>
    <phoneticPr fontId="8"/>
  </si>
  <si>
    <t>生産計画－生産異常－発生対策－アクセス制限</t>
    <phoneticPr fontId="8"/>
  </si>
  <si>
    <t>PRODUCTION_PLAN_PRODUCTION_ANOMALY_SPILL_CAUSE_RESTRICTION</t>
    <phoneticPr fontId="8"/>
  </si>
  <si>
    <t>生産計画－生産異常－流出原因－アクセス制限</t>
    <phoneticPr fontId="8"/>
  </si>
  <si>
    <t>PRODUCTION_PLAN_PRODUCTION_ANOMALY_SPILL_MEASURE_RESTRICTION</t>
    <phoneticPr fontId="8"/>
  </si>
  <si>
    <t>生産計画－生産異常－流出対策－アクセス制限</t>
    <phoneticPr fontId="8"/>
  </si>
  <si>
    <t>PRODUCTION_PLAN_PRODUCTION_ANOMALY_CONFIRM_RESTRICTION</t>
    <phoneticPr fontId="8"/>
  </si>
  <si>
    <t>生産計画－生産異常－効果確認－アクセス制限</t>
    <phoneticPr fontId="8"/>
  </si>
  <si>
    <t>PRODUCTION_PLAN_PRODUCTION_ANOMALY_ANOMALY</t>
    <phoneticPr fontId="8"/>
  </si>
  <si>
    <t>生産計画－生産異常－異常(区分)</t>
    <phoneticPr fontId="8"/>
  </si>
  <si>
    <t>PRODUCTION_PLAN_PRODUCTION_ANOMALY_ANOMALY_RANK</t>
    <phoneticPr fontId="8"/>
  </si>
  <si>
    <t>生産計画－生産異常－異常(ランク)</t>
    <phoneticPr fontId="8"/>
  </si>
  <si>
    <t>PRODUCTION_PLAN_PRODUCTION_ANOMALY_ANOMALY_LINEOUT</t>
    <phoneticPr fontId="8"/>
  </si>
  <si>
    <t>生産計画－生産異常－異常(ライン落ち)</t>
    <phoneticPr fontId="8"/>
  </si>
  <si>
    <t>PRODUCTION_PLAN_PRODUCTION_ANOMALY_ANOMALY_SOMETHING</t>
    <phoneticPr fontId="8"/>
  </si>
  <si>
    <t>生産計画－生産異常－異常(何変)</t>
    <phoneticPr fontId="8"/>
  </si>
  <si>
    <t>PRODUCTION_PLAN_PRODUCTION_ANOMALY_ANOMALY_DISCOVER_SECTION</t>
    <phoneticPr fontId="8"/>
  </si>
  <si>
    <t>生産計画－生産異常－異常(発見区)</t>
    <phoneticPr fontId="8"/>
  </si>
  <si>
    <t>PRODUCTION_PLAN_PRODUCTION_ANOMALY_TREAT_CATEGORY</t>
    <phoneticPr fontId="8"/>
  </si>
  <si>
    <t>生産計画－生産異常－処置(分類)</t>
    <phoneticPr fontId="8"/>
  </si>
  <si>
    <t>PRODUCTION_PLAN_PRODUCTION_ANOMALY_TREAT_UNREPEAT</t>
    <phoneticPr fontId="8"/>
  </si>
  <si>
    <t>生産計画－生産異常－処置(不再現)</t>
    <phoneticPr fontId="8"/>
  </si>
  <si>
    <t>PRODUCTION_PLAN_PRODUCTION_ANOMALY_OCCURRENCE_CAUSE_CATEGORY</t>
    <phoneticPr fontId="8"/>
  </si>
  <si>
    <t>生産計画－生産異常－発生原因(分類)</t>
    <phoneticPr fontId="8"/>
  </si>
  <si>
    <t>PRODUCTION_PLAN_PRODUCTION_ANOMALY_OCCURRENCE_CAUSE_RESPONSIBLE_SECTION</t>
    <phoneticPr fontId="8"/>
  </si>
  <si>
    <t>生産計画－生産異常－発生原因(責任区)</t>
    <phoneticPr fontId="8"/>
  </si>
  <si>
    <t>PRODUCTION_PLAN_PRODUCTION_ANOMALY_OCCURRENCE_CAUSE_OCCURRENCE_SECTION</t>
    <phoneticPr fontId="8"/>
  </si>
  <si>
    <t>生産計画－生産異常－発生原因(発生区)</t>
    <phoneticPr fontId="8"/>
  </si>
  <si>
    <t>PRODUCTION_PLAN_PRODUCTION_ANOMALY_OCCURRENCE_MEASURE_CATEGORY</t>
    <phoneticPr fontId="8"/>
  </si>
  <si>
    <t>生産計画－生産異常－発生対策(分類)</t>
    <phoneticPr fontId="8"/>
  </si>
  <si>
    <t>PRODUCTION_PLAN_PRODUCTION_ANOMALY_SPILL_CAUSE_CATEGORY</t>
    <phoneticPr fontId="8"/>
  </si>
  <si>
    <t>生産計画－生産異常－流出原因(分類)</t>
    <phoneticPr fontId="8"/>
  </si>
  <si>
    <t>PRODUCTION_PLAN_PRODUCTION_ANOMALY_SPILL_CAUSE_RESPONSIBLE_SECTION</t>
    <phoneticPr fontId="8"/>
  </si>
  <si>
    <t>生産計画－生産異常－流出原因(責任区)</t>
    <phoneticPr fontId="8"/>
  </si>
  <si>
    <t>PRODUCTION_PLAN_PRODUCTION_ANOMALY_SPILL_CAUSE_OCCURRENCE_SECTION</t>
    <phoneticPr fontId="8"/>
  </si>
  <si>
    <t>生産計画－生産異常－流出原因(発生区)</t>
    <phoneticPr fontId="8"/>
  </si>
  <si>
    <t>PRODUCTION_PLAN_PRODUCTION_ANOMALY_SPILL_MEASURE_CATEGORY</t>
    <phoneticPr fontId="8"/>
  </si>
  <si>
    <t>生産計画－生産異常－流出対策(分類)</t>
    <phoneticPr fontId="8"/>
  </si>
  <si>
    <t>PRODUCTION_PLAN_PRODUCTION_ANOMALY_CONFIRM_DECISION</t>
    <phoneticPr fontId="8"/>
  </si>
  <si>
    <t>生産計画－生産異常－効果確認(判定)</t>
    <phoneticPr fontId="8"/>
  </si>
  <si>
    <t>PRODUCTION_PLAN_PRODUCTION_ANOMALY_CONFIRM_CONTENT</t>
    <phoneticPr fontId="8"/>
  </si>
  <si>
    <t>生産計画－生産異常－効果確認(内容)</t>
    <phoneticPr fontId="8"/>
  </si>
  <si>
    <t>PRODUCTION_PLAN_PRODUCTION_ANOMALY_SET</t>
    <phoneticPr fontId="8"/>
  </si>
  <si>
    <t>生産計画－生産異常セット</t>
    <phoneticPr fontId="8"/>
  </si>
  <si>
    <t>PRODUCTION_RESULT_MONITOR</t>
    <phoneticPr fontId="8"/>
  </si>
  <si>
    <t>生産実績－状況</t>
    <phoneticPr fontId="8"/>
  </si>
  <si>
    <t>PRODUCTION_RESULT_SETUP</t>
    <phoneticPr fontId="8"/>
  </si>
  <si>
    <t>生産実績－生産実績段取</t>
    <phoneticPr fontId="8"/>
  </si>
  <si>
    <t>PRODUCTION_RESULT_SETUP_ATTACHED_FILE</t>
    <phoneticPr fontId="8"/>
  </si>
  <si>
    <t>生産実績－生産実績段取－添付</t>
    <phoneticPr fontId="8"/>
  </si>
  <si>
    <t>PRODUCTION_RESULT_PROCESS</t>
    <phoneticPr fontId="8"/>
  </si>
  <si>
    <t>生産実績－工程別実績</t>
    <phoneticPr fontId="8"/>
  </si>
  <si>
    <t>PRODUCTION_DETAIL_PRODUCTION_BASIC</t>
    <phoneticPr fontId="8"/>
  </si>
  <si>
    <t>生産明細－生産実績基本</t>
    <phoneticPr fontId="8"/>
  </si>
  <si>
    <t>PRODUCTION_DETAIL_PRODUCTION_BASIC_PARAMETER</t>
    <phoneticPr fontId="8"/>
  </si>
  <si>
    <t>生産明細－生産実績基本－生産パラメータ</t>
    <phoneticPr fontId="8"/>
  </si>
  <si>
    <t>PRODUCTION_DETAIL_PROCESS_PRODUCTION_BASIC_PARAMETER</t>
    <phoneticPr fontId="8"/>
  </si>
  <si>
    <t>生産明細－工程－生産実績基本－生産パラメータ</t>
    <phoneticPr fontId="8"/>
  </si>
  <si>
    <t>PRODUCTION_DETAIL_PROCESS_PRODUCTION_BASIC_HISTORY</t>
    <phoneticPr fontId="8"/>
  </si>
  <si>
    <t>生産明細－工程－生産実績基本－工程履歴</t>
    <phoneticPr fontId="8"/>
  </si>
  <si>
    <t>PRODUCTION_DETAIL_PROCESS_PRODUCTION_BASIC_HISTORY_OCCURRENCE_BREAKDOWN</t>
    <phoneticPr fontId="8"/>
  </si>
  <si>
    <t>生産明細－工程－生産実績基本－工程履歴－発生内訳</t>
    <phoneticPr fontId="8"/>
  </si>
  <si>
    <t>PRODUCTION_DETAIL_PROCESS_PRODUCTION_BASIC_LOT</t>
    <phoneticPr fontId="8"/>
  </si>
  <si>
    <t>生産明細－工程－生産実績基本－ロット管理</t>
    <phoneticPr fontId="8"/>
  </si>
  <si>
    <t>PRODUCTION_DETAIL_PROCESS_PRODUCTION_COMPONENTS</t>
    <phoneticPr fontId="8"/>
  </si>
  <si>
    <t>生産明細－工程－生産実績構成</t>
    <phoneticPr fontId="8"/>
  </si>
  <si>
    <t>PRODUCTION_DETAIL_PROCESS_PRODUCTION_WORK</t>
    <phoneticPr fontId="8"/>
  </si>
  <si>
    <t>生産明細－工程－生産実績作業</t>
    <phoneticPr fontId="8"/>
  </si>
  <si>
    <t>PRODUCTION_DETAIL_PROCESS_PRODUCTION_WORK_ATTACHED_FILE</t>
    <phoneticPr fontId="8"/>
  </si>
  <si>
    <t>生産明細－工程－生産実績作業－添付</t>
    <phoneticPr fontId="8"/>
  </si>
  <si>
    <t>PRODUCTION_DETAIL_PROCESS_PRODUCTION_INSPECTION</t>
    <phoneticPr fontId="8"/>
  </si>
  <si>
    <t>生産明細－工程－生産実績検査</t>
    <phoneticPr fontId="8"/>
  </si>
  <si>
    <t>PRODUCTION_DETAIL_PROCESS_PRODUCTION_INSPECTION_ITEM_CONDITION</t>
    <phoneticPr fontId="8"/>
  </si>
  <si>
    <t>生産明細－工程－生産実績検査－条件</t>
    <phoneticPr fontId="8"/>
  </si>
  <si>
    <t>PRODUCTION_DETAIL_PROCESS_PRODUCTION_INSPECTION_ATTACHED_FILE</t>
    <phoneticPr fontId="8"/>
  </si>
  <si>
    <t>生産明細－工程－生産実績検査－添付</t>
    <phoneticPr fontId="8"/>
  </si>
  <si>
    <t>PRODUCTION_DETAIL_PROCESS_PRODUCTION_MEASUREMENT</t>
    <phoneticPr fontId="8"/>
  </si>
  <si>
    <t>生産明細－工程－生産実績測定</t>
    <phoneticPr fontId="8"/>
  </si>
  <si>
    <t>PRODUCTION_DETAIL_PROCESS_PRODUCTION_MEASUREMENT_ITEM_CONDITION</t>
    <phoneticPr fontId="8"/>
  </si>
  <si>
    <t>生産明細－工程－生産実績測定－条件</t>
    <phoneticPr fontId="8"/>
  </si>
  <si>
    <t>PRODUCTION_DETAIL_PROCESS_PRODUCTION_MEASUREMENT_ATTACHED_FILE</t>
    <phoneticPr fontId="8"/>
  </si>
  <si>
    <t>生産明細－工程－生産実績測定－添付</t>
    <phoneticPr fontId="8"/>
  </si>
  <si>
    <t>QUALITY_ANOMALY</t>
    <phoneticPr fontId="8"/>
  </si>
  <si>
    <t>品質異常・対応実績</t>
    <phoneticPr fontId="8"/>
  </si>
  <si>
    <t>QUALITY_ANOMALY_ATTACHED_FILE</t>
    <phoneticPr fontId="8"/>
  </si>
  <si>
    <t>品質異常・対応実績－添付</t>
    <phoneticPr fontId="8"/>
  </si>
  <si>
    <t>PRODUCTION_ANOMALY</t>
    <phoneticPr fontId="8"/>
  </si>
  <si>
    <t>生産異常・対応実績</t>
    <phoneticPr fontId="8"/>
  </si>
  <si>
    <t>PRODUCTION_ANOMALY_ATTACHED_FILE</t>
    <phoneticPr fontId="8"/>
  </si>
  <si>
    <t>生産異常・対応実績－添付</t>
    <phoneticPr fontId="8"/>
  </si>
  <si>
    <t>PRODUCTION_DEFAULT_RESULTS</t>
    <phoneticPr fontId="8"/>
  </si>
  <si>
    <t>既定実績</t>
    <phoneticPr fontId="8"/>
  </si>
  <si>
    <t>PRODUCTION_DEFAULT_RESULTS_PRODUCTION_BASIC</t>
    <phoneticPr fontId="8"/>
  </si>
  <si>
    <t>既定実績－生産実績基本</t>
    <phoneticPr fontId="8"/>
  </si>
  <si>
    <t>PRODUCTION_DEFAULT_RESULTS_PRODUCTION_BASIC_PARAMETER</t>
    <phoneticPr fontId="8"/>
  </si>
  <si>
    <t>既定実績－生産実績基本－生産パラメータ</t>
    <phoneticPr fontId="8"/>
  </si>
  <si>
    <t>PRODUCTION_DEFAULT_RESULTS_SETUP</t>
    <phoneticPr fontId="8"/>
  </si>
  <si>
    <t>既定実績－生産実績段取</t>
    <phoneticPr fontId="8"/>
  </si>
  <si>
    <t>PRODUCTION_DEFAULT_RESULTS_PROCESS</t>
    <phoneticPr fontId="8"/>
  </si>
  <si>
    <t>既定実績－工程</t>
    <phoneticPr fontId="8"/>
  </si>
  <si>
    <t>PRODUCTION_DEFAULT_RESULTS_PROCESS_PRODUCTION_BASIC_PARAMETER</t>
    <phoneticPr fontId="8"/>
  </si>
  <si>
    <t>既定実績－工程－生産実績基本－生産パラメータ</t>
    <phoneticPr fontId="8"/>
  </si>
  <si>
    <t>PRODUCTION_DEFAULT_RESULTS_PROCESS_PRODUCTION_BASIC_HISTORY</t>
    <phoneticPr fontId="8"/>
  </si>
  <si>
    <t>既定実績－工程－生産実績基本－工程履歴</t>
    <phoneticPr fontId="8"/>
  </si>
  <si>
    <t>PRODUCTION_DEFAULT_RESULTS_PROCESS_PRODUCTION_BASIC_HISTORY_OCCURRENCE_BREAKDOWN</t>
    <phoneticPr fontId="8"/>
  </si>
  <si>
    <t>既定実績－工程－生産実績基本－工程履歴－発生内訳</t>
    <phoneticPr fontId="8"/>
  </si>
  <si>
    <t>PRODUCTION_DEFAULT_RESULTS_PROCESS_PRODUCTION_BASIC_LOT</t>
    <phoneticPr fontId="8"/>
  </si>
  <si>
    <t>既定実績－工程－生産実績基本－ロット管理</t>
    <phoneticPr fontId="8"/>
  </si>
  <si>
    <t>PRODUCTION_DEFAULT_RESULTS_PROCESS_PRODUCTION_COMPONENTS</t>
    <phoneticPr fontId="8"/>
  </si>
  <si>
    <t>既定実績－工程－生産実績構成</t>
    <phoneticPr fontId="8"/>
  </si>
  <si>
    <t>PRODUCTION_DEFAULT_RESULTS_PROCESS_PRODUCTION_WORK</t>
    <phoneticPr fontId="8"/>
  </si>
  <si>
    <t>既定実績－工程－生産実績作業</t>
    <phoneticPr fontId="8"/>
  </si>
  <si>
    <t>PRODUCTION_DEFAULT_RESULTS_PROCESS_PRODUCTION_INSPECTION</t>
    <phoneticPr fontId="8"/>
  </si>
  <si>
    <t>既定実績－工程－生産実績検査</t>
    <phoneticPr fontId="8"/>
  </si>
  <si>
    <t>PRODUCTION_DEFAULT_RESULTS_PROCESS_PRODUCTION_INSPECTION_ITEM_CONDITION</t>
    <phoneticPr fontId="8"/>
  </si>
  <si>
    <t>既定実績－工程－生産実績検査－条件</t>
    <phoneticPr fontId="8"/>
  </si>
  <si>
    <t>PRODUCTION_DEFAULT_RESULTS_PROCESS_PRODUCTION_MEASUREMENT</t>
    <phoneticPr fontId="8"/>
  </si>
  <si>
    <t>既定実績－工程－生産実績測定</t>
    <phoneticPr fontId="8"/>
  </si>
  <si>
    <t>PRODUCTION_DEFAULT_RESULTS_PROCESS_PRODUCTION_MEASUREMENT_ITEM_CONDITION</t>
    <phoneticPr fontId="8"/>
  </si>
  <si>
    <t>既定実績－工程－生産実績測定－条件</t>
    <phoneticPr fontId="8"/>
  </si>
  <si>
    <t>SOI_LOCATION_PRODUCT</t>
    <phoneticPr fontId="8"/>
  </si>
  <si>
    <t>【標準指示】拠点－品種</t>
    <phoneticPr fontId="8"/>
  </si>
  <si>
    <t>SOI_LOCATION_PRODUCT_RESTRICTION</t>
    <phoneticPr fontId="8"/>
  </si>
  <si>
    <t>【標準指示】拠点－品種－アクセス制限</t>
    <phoneticPr fontId="8"/>
  </si>
  <si>
    <t>SOI_PRODUCT_PRODUCTION_TYPE</t>
    <phoneticPr fontId="8"/>
  </si>
  <si>
    <t>【標準指示】品種－生産種別</t>
    <phoneticPr fontId="8"/>
  </si>
  <si>
    <t>SOI_PRODUCT_PRODUCTION_TYPE_RESTRICTION</t>
    <phoneticPr fontId="8"/>
  </si>
  <si>
    <t>【標準指示】品種－生産種別－アクセス制限</t>
    <phoneticPr fontId="8"/>
  </si>
  <si>
    <t>SOI_PRODUCTION_TYPE_PRODUCTION_PLAN</t>
    <phoneticPr fontId="8"/>
  </si>
  <si>
    <t>【標準指示】生産種別－生産実績計画</t>
    <phoneticPr fontId="8"/>
  </si>
  <si>
    <t>SOI_PRODUCTION_TYPE_PRODUCTION_PLAN_RESTRICTION</t>
    <phoneticPr fontId="8"/>
  </si>
  <si>
    <t>【標準指示】生産種別－生産実績計画－アクセス制限</t>
    <phoneticPr fontId="8"/>
  </si>
  <si>
    <t>SOI_PRODUCTION_TYPE_PRODUCTION_BASIC</t>
    <phoneticPr fontId="8"/>
  </si>
  <si>
    <t>【標準指示】生産種別－生産実績基本</t>
    <phoneticPr fontId="8"/>
  </si>
  <si>
    <t>SOI_PRODUCTION_TYPE_PRODUCTION_BASIC_RESTRICTION</t>
    <phoneticPr fontId="8"/>
  </si>
  <si>
    <t>【標準指示】生産種別－生産実績基本－アクセス制限</t>
    <phoneticPr fontId="8"/>
  </si>
  <si>
    <t>SOI_PRODUCTION_TYPE_PRODUCTION_BASIC_PARAMETER_RESTRICTION</t>
    <phoneticPr fontId="8"/>
  </si>
  <si>
    <t>【標準指示】生産種別－生産実績基本－生産パラメータ－アクセス制</t>
    <phoneticPr fontId="8"/>
  </si>
  <si>
    <t>SOI_PRODUCTION_TYPE_PRODUCTION_BASIC_PARAMETER_STANDARD_VALUE</t>
    <phoneticPr fontId="8"/>
  </si>
  <si>
    <t>【標準指示】生産種別－生産実績基本－生産パラメータ－標準値</t>
    <phoneticPr fontId="8"/>
  </si>
  <si>
    <t>SOI_PRODUCTION_TYPE_PRODUCTION_SETUP</t>
    <phoneticPr fontId="8"/>
  </si>
  <si>
    <t>【標準指示】生産種別－生産実績段取</t>
    <phoneticPr fontId="8"/>
  </si>
  <si>
    <t>SOI_PRODUCTION_TYPE_PRODUCTION_SETUP_RESTRICTION</t>
    <phoneticPr fontId="8"/>
  </si>
  <si>
    <t>【標準指示】生産種別－生産実績段取－アクセス制限</t>
    <phoneticPr fontId="8"/>
  </si>
  <si>
    <t>SOI_PRODUCTION_TYPE_PRODUCTION_SETUP_ITEM_RESTRICTION</t>
    <phoneticPr fontId="8"/>
  </si>
  <si>
    <t>【標準指示】生産種別－生産実績段取－項目－アクセス制限</t>
    <phoneticPr fontId="8"/>
  </si>
  <si>
    <t>SOI_PRODUCTION_TYPE_PROCESSGROUP</t>
    <phoneticPr fontId="8"/>
  </si>
  <si>
    <t>【標準指示】生産種別－工程分類</t>
    <phoneticPr fontId="8"/>
  </si>
  <si>
    <t>SOI_PRODUCTION_TYPE_PROCESSGROUP_RESTRICTION</t>
    <phoneticPr fontId="8"/>
  </si>
  <si>
    <t>【標準指示】生産種別－工程分類－アクセス制限</t>
    <phoneticPr fontId="8"/>
  </si>
  <si>
    <t>SOI_PROCESSGROUP_PROCESS</t>
    <phoneticPr fontId="8"/>
  </si>
  <si>
    <t>【標準指示】工程分類－工程</t>
    <phoneticPr fontId="8"/>
  </si>
  <si>
    <t>SOI_PROCESSGROUP_PROCESS_RESTRICTION</t>
    <phoneticPr fontId="8"/>
  </si>
  <si>
    <t>【標準指示】工程分類－工程－アクセス制限</t>
    <phoneticPr fontId="8"/>
  </si>
  <si>
    <t>SOI_PROCESS_PRODUCTION_PLAN</t>
    <phoneticPr fontId="8"/>
  </si>
  <si>
    <t>【標準指示】工程－生産実績計画</t>
    <phoneticPr fontId="8"/>
  </si>
  <si>
    <t>SOI_PROCESS_PRODUCTION_PLAN_RESTRICTION</t>
    <phoneticPr fontId="8"/>
  </si>
  <si>
    <t>【標準指示】工程－生産実績計画－アクセス制限</t>
    <phoneticPr fontId="8"/>
  </si>
  <si>
    <t>SOI_PROCESS_PRODUCTION_PLAN_STANDARD_VALUE</t>
    <phoneticPr fontId="8"/>
  </si>
  <si>
    <t>【標準指示】工程－生産実績計画－標準値</t>
    <phoneticPr fontId="8"/>
  </si>
  <si>
    <t>SOI_PROCESS_PRODUCTION_BASIC</t>
    <phoneticPr fontId="8"/>
  </si>
  <si>
    <t>【標準指示】工程－生産実績基本</t>
    <phoneticPr fontId="8"/>
  </si>
  <si>
    <t>SOI_PROCESS_PRODUCTION_BASIC_RESTRICTION</t>
    <phoneticPr fontId="8"/>
  </si>
  <si>
    <t>【標準指示】工程－生産実績基本－アクセス制限</t>
    <phoneticPr fontId="8"/>
  </si>
  <si>
    <t>SOI_PROCESS_PRODUCTION_BASIC_PARAMETER_RESTRICTION</t>
    <phoneticPr fontId="8"/>
  </si>
  <si>
    <t>【標準指示】工程－生産実績基本－生産パラメータ－アクセス制限</t>
    <phoneticPr fontId="8"/>
  </si>
  <si>
    <t>SOI_PROCESS_PRODUCTION_BASIC_PARAMETER_STANDARD_VALUE</t>
    <phoneticPr fontId="8"/>
  </si>
  <si>
    <t>【標準指示】工程－生産実績基本－生産パラメータ－標準値</t>
    <phoneticPr fontId="8"/>
  </si>
  <si>
    <t>SOI_PROCESS_PRODUCTION_BASIC_LOT_RESTRICTION</t>
    <phoneticPr fontId="8"/>
  </si>
  <si>
    <t>【標準指示】工程－生産実績基本－ロット管理－アクセス制限</t>
    <phoneticPr fontId="8"/>
  </si>
  <si>
    <t>SOI_PROCESS_PRODUCTION_BASIC_LOT_STANDARD_VALUE</t>
    <phoneticPr fontId="8"/>
  </si>
  <si>
    <t>【標準指示】工程－生産実績基本－ロット管理－標準値</t>
    <phoneticPr fontId="8"/>
  </si>
  <si>
    <t>SOI_PROCESS_PRODUCTION_COMPONENTS</t>
    <phoneticPr fontId="8"/>
  </si>
  <si>
    <t>【標準指示】工程－生産実績構成</t>
    <phoneticPr fontId="8"/>
  </si>
  <si>
    <t>SOI_PROCESS_PRODUCTION_COMPONENTS_RESTRICTION</t>
    <phoneticPr fontId="8"/>
  </si>
  <si>
    <t>【標準指示】工程－生産実績構成－アクセス制限</t>
    <phoneticPr fontId="8"/>
  </si>
  <si>
    <t>SOI_PROCESS_PRODUCTION_COMPONENTS_ITEM_RESTRICTION</t>
    <phoneticPr fontId="8"/>
  </si>
  <si>
    <t>【標準指示】工程－生産実績構成－項目－アクセス制限</t>
    <phoneticPr fontId="8"/>
  </si>
  <si>
    <t>SOI_PROCESS_PRODUCTION_COMPONENTS_ITEM_STANDARD_VALUE</t>
    <phoneticPr fontId="8"/>
  </si>
  <si>
    <t>【標準指示】工程－生産実績構成－項目－標準値</t>
    <phoneticPr fontId="8"/>
  </si>
  <si>
    <t>SOI_PROCESS_PRODUCTION_WORK</t>
    <phoneticPr fontId="8"/>
  </si>
  <si>
    <t>【標準指示】工程－生産実績作業</t>
    <phoneticPr fontId="8"/>
  </si>
  <si>
    <t>SOI_PROCESS_PRODUCTION_WORK_RESTRICTION</t>
    <phoneticPr fontId="8"/>
  </si>
  <si>
    <t>【標準指示】工程－生産実績作業－アクセス制限</t>
    <phoneticPr fontId="8"/>
  </si>
  <si>
    <t>SOI_PROCESS_PRODUCTION_WORK_ITEM_RESTRICTION</t>
    <phoneticPr fontId="8"/>
  </si>
  <si>
    <t>【標準指示】工程－生産実績作業－項目－アクセス制限</t>
    <phoneticPr fontId="8"/>
  </si>
  <si>
    <t>SOI_PROCESS_PRODUCTION_INSPECTION</t>
    <phoneticPr fontId="8"/>
  </si>
  <si>
    <t>【標準指示】工程－生産実績検査</t>
    <phoneticPr fontId="8"/>
  </si>
  <si>
    <t>SOI_PROCESS_PRODUCTION_INSPECTION_RESTRICTION</t>
    <phoneticPr fontId="8"/>
  </si>
  <si>
    <t>【標準指示】工程－生産実績検査－アクセス制限</t>
    <phoneticPr fontId="8"/>
  </si>
  <si>
    <t>SOI_PROCESS_PRODUCTION_INSPECTION_ITEM_RESTRICTION</t>
    <phoneticPr fontId="8"/>
  </si>
  <si>
    <t>【標準指示】工程－生産実績検査－項目－アクセス制限</t>
    <phoneticPr fontId="8"/>
  </si>
  <si>
    <t>SOI_PROCESS_PRODUCTION_INSPECTION_ITEM_STANDARD_VALUE</t>
    <phoneticPr fontId="8"/>
  </si>
  <si>
    <t>【標準指示】工程－生産実績検査－項目－標準値</t>
    <phoneticPr fontId="8"/>
  </si>
  <si>
    <t>SOI_PROCESS_PRODUCTION_INSPECTION_ITEM_CONDITION_RESTRICTION</t>
    <phoneticPr fontId="8"/>
  </si>
  <si>
    <t>【標準指示】工程－生産実績検査－項目－条件－アクセス制限</t>
    <phoneticPr fontId="8"/>
  </si>
  <si>
    <t>SOI_PROCESS_PRODUCTION_INSPECTION_ITEM_CONDITION_STANDARD_VALUE</t>
    <phoneticPr fontId="8"/>
  </si>
  <si>
    <t>【標準指示】工程－生産実績検査－項目－条件－標準値</t>
    <phoneticPr fontId="8"/>
  </si>
  <si>
    <t>SOI_PROCESS_PRODUCTION_MEASUREMENT</t>
    <phoneticPr fontId="8"/>
  </si>
  <si>
    <t>【標準指示】工程－生産実績測定</t>
    <phoneticPr fontId="8"/>
  </si>
  <si>
    <t>SOI_PROCESS_PRODUCTION_MEASUREMENT_RESTRICTION</t>
    <phoneticPr fontId="8"/>
  </si>
  <si>
    <t>【標準指示】工程－生産実績測定－アクセス制限</t>
    <phoneticPr fontId="8"/>
  </si>
  <si>
    <t>SOI_PROCESS_PRODUCTION_MEASUREMENT_ITEM_RESTRICTION</t>
    <phoneticPr fontId="8"/>
  </si>
  <si>
    <t>【標準指示】工程－生産実績測定－項目－アクセス制限</t>
    <phoneticPr fontId="8"/>
  </si>
  <si>
    <t>SOI_PROCESS_PRODUCTION_MEASUREMENT_ITEM_STANDARD_VALUE</t>
    <phoneticPr fontId="8"/>
  </si>
  <si>
    <t>【標準指示】工程－生産実績測定－項目－標準値</t>
    <phoneticPr fontId="8"/>
  </si>
  <si>
    <t>SOI_PROCESS_PRODUCTION_MEASUREMENT_ITEM_CONDITION_RESTRICTION</t>
    <phoneticPr fontId="8"/>
  </si>
  <si>
    <t>【標準指示】工程－生産実績測定－項目－条件－アクセス制限</t>
    <phoneticPr fontId="8"/>
  </si>
  <si>
    <t>SOI_PROCESS_PRODUCTION_MEASUREMENT_ITEM_CONDITION_STANDARD_VALUE</t>
    <phoneticPr fontId="8"/>
  </si>
  <si>
    <t>【標準指示】工程－生産実績測定－項目－条件－標準値</t>
    <phoneticPr fontId="8"/>
  </si>
  <si>
    <t>PRODUCT_MASTER</t>
    <phoneticPr fontId="8"/>
  </si>
  <si>
    <t>品種マスタ</t>
    <phoneticPr fontId="8"/>
  </si>
  <si>
    <t>PRODUCT＿MASTER_RESTRICTION</t>
    <phoneticPr fontId="8"/>
  </si>
  <si>
    <t>品種マスタ－アクセス制限</t>
    <phoneticPr fontId="8"/>
  </si>
  <si>
    <t>PRODUCT＿MASTER_ATTACHEDINFO</t>
    <phoneticPr fontId="8"/>
  </si>
  <si>
    <t>品種マスタ－付属情報</t>
    <phoneticPr fontId="8"/>
  </si>
  <si>
    <t>PRODUCTION_TYPE_MASTER</t>
    <phoneticPr fontId="8"/>
  </si>
  <si>
    <t>生産種別マスタ</t>
    <phoneticPr fontId="8"/>
  </si>
  <si>
    <t>PRODUCTION_TYPE_MASTER_RESTRICTION</t>
    <phoneticPr fontId="8"/>
  </si>
  <si>
    <t>生産種別マスタ－アクセス制限</t>
    <phoneticPr fontId="8"/>
  </si>
  <si>
    <t>PROCESSGROUP_MASTER</t>
    <phoneticPr fontId="8"/>
  </si>
  <si>
    <t>工程分類マスタ</t>
    <phoneticPr fontId="8"/>
  </si>
  <si>
    <t>PROCESSGROUP_MASTER_RESTRICTION</t>
    <phoneticPr fontId="8"/>
  </si>
  <si>
    <t>工程分類マスタ－アクセス制限</t>
    <phoneticPr fontId="8"/>
  </si>
  <si>
    <t>PROCESS_MASTER</t>
    <phoneticPr fontId="8"/>
  </si>
  <si>
    <t>工程マスタ</t>
    <phoneticPr fontId="8"/>
  </si>
  <si>
    <t>PROCESS_MASTER_RESTRICTION</t>
    <phoneticPr fontId="8"/>
  </si>
  <si>
    <t>工程マスタ－アクセス制限</t>
    <phoneticPr fontId="8"/>
  </si>
  <si>
    <t>PRODUCTION_PLAN_MASTER</t>
    <phoneticPr fontId="8"/>
  </si>
  <si>
    <t>生産実績計画マスタ</t>
    <phoneticPr fontId="8"/>
  </si>
  <si>
    <t>PRODUCTION_PLAN_MASTER_RESTRICTION</t>
    <phoneticPr fontId="8"/>
  </si>
  <si>
    <t>生産実績計画マスタ－アクセス制限</t>
    <phoneticPr fontId="8"/>
  </si>
  <si>
    <t>PRODUCTION_BASIC_MASTER</t>
    <phoneticPr fontId="8"/>
  </si>
  <si>
    <t>生産実績基本マスタ</t>
    <phoneticPr fontId="8"/>
  </si>
  <si>
    <t>PRODUCTION_BASIC_MASTER_RESTRICTION</t>
    <phoneticPr fontId="8"/>
  </si>
  <si>
    <t>生産実績基本マスタ－アクセス制限</t>
    <phoneticPr fontId="8"/>
  </si>
  <si>
    <t>PRODUCTION_BASIC_MASTER_PARAMETER</t>
    <phoneticPr fontId="8"/>
  </si>
  <si>
    <t>生産実績基本マスタ－生産パラメータ</t>
    <phoneticPr fontId="8"/>
  </si>
  <si>
    <t>PRODUCTION_BASIC_MASTER_PARAMETER_RESTRICTION</t>
    <phoneticPr fontId="8"/>
  </si>
  <si>
    <t>生産実績基本マスタ－生産パラメータ－アクセス制限</t>
    <phoneticPr fontId="8"/>
  </si>
  <si>
    <t>PRODUCTION_BASIC_MASTER_PARAMETER_STANDARD_VALUE</t>
    <phoneticPr fontId="8"/>
  </si>
  <si>
    <t>生産実績基本マスタ－生産パラメータ－標準値</t>
    <phoneticPr fontId="8"/>
  </si>
  <si>
    <t>PRODUCTION_PLAN_PROCESS_MASTER</t>
    <phoneticPr fontId="8"/>
  </si>
  <si>
    <t>生産実績計画工程別マスタ</t>
    <phoneticPr fontId="8"/>
  </si>
  <si>
    <t>PRODUCTION_PLAN_PROCESS_MASTER_RESTRICTION</t>
    <phoneticPr fontId="8"/>
  </si>
  <si>
    <t>生産実績計画工程別マスタ－アクセス制限</t>
    <phoneticPr fontId="8"/>
  </si>
  <si>
    <t>PRODUCTION_PLAN_PROCESS_MASTER_STANDARD_VALUE</t>
    <phoneticPr fontId="8"/>
  </si>
  <si>
    <t>生産実績計画工程別マスタ－標準値</t>
    <phoneticPr fontId="8"/>
  </si>
  <si>
    <t>PRODUCTION_BASIC_PROCESS_MASTER</t>
    <phoneticPr fontId="8"/>
  </si>
  <si>
    <t>生産実績基本工程別マスタ</t>
    <phoneticPr fontId="8"/>
  </si>
  <si>
    <t>PRODUCTION_BASIC_PROCESS_MASTER_RESTRICTION</t>
    <phoneticPr fontId="8"/>
  </si>
  <si>
    <t>生産実績基本工程別マスタ－アクセス制限</t>
    <phoneticPr fontId="8"/>
  </si>
  <si>
    <t>PRODUCTION_BASIC_PROCESS_MASTER_PARAMETER</t>
    <phoneticPr fontId="8"/>
  </si>
  <si>
    <t>生産実績基本工程別マスタ－生産パラメータ</t>
    <phoneticPr fontId="8"/>
  </si>
  <si>
    <t>PRODUCTION_BASIC_PROCESS_MASTER_PARAMETER_RESTRICTION</t>
    <phoneticPr fontId="8"/>
  </si>
  <si>
    <t>生産実績基本工程別マスタ－生産パラメータ－アクセス制限</t>
    <phoneticPr fontId="8"/>
  </si>
  <si>
    <t>PRODUCTION_BASIC_PROCESS_MASTER_PARAMETER_STANDARD_VALUE</t>
    <phoneticPr fontId="8"/>
  </si>
  <si>
    <t>生産実績基本工程別マスタ－生産パラメータ－標準値</t>
    <phoneticPr fontId="8"/>
  </si>
  <si>
    <t>PRODUCTION_BASIC_PROCESS_MASTER_HISTORY_OCCURRENCE_BREAKDOWN</t>
    <phoneticPr fontId="8"/>
  </si>
  <si>
    <t>生産実績基本工程別マスタ－工程履歴－発生内訳</t>
    <phoneticPr fontId="8"/>
  </si>
  <si>
    <t>PRODUCTION_BASIC_PROCESS_MASTER_LOT</t>
    <phoneticPr fontId="8"/>
  </si>
  <si>
    <t>生産実績基本工程別マスタ－ロット管理</t>
    <phoneticPr fontId="8"/>
  </si>
  <si>
    <t>PRODUCTION_BASIC_PROCESS_MASTER_LOT_RESTRICTION</t>
    <phoneticPr fontId="8"/>
  </si>
  <si>
    <t>生産実績基本工程別マスタ－ロット管理－アクセス制限</t>
    <phoneticPr fontId="8"/>
  </si>
  <si>
    <t>PRODUCTION_BASIC_PROCESS_MASTER_LOT_STANDARD_VALUE</t>
    <phoneticPr fontId="8"/>
  </si>
  <si>
    <t>生産実績基本工程別マスタ－ロット管理－標準値</t>
    <phoneticPr fontId="8"/>
  </si>
  <si>
    <t>PRODUCTION_COMPONENTS_MASTER</t>
    <phoneticPr fontId="8"/>
  </si>
  <si>
    <t>生産実績構成マスタ</t>
    <phoneticPr fontId="8"/>
  </si>
  <si>
    <t>PRODUCTION_COMPONENTS_MASTER_RESTRICTION</t>
    <phoneticPr fontId="8"/>
  </si>
  <si>
    <t>生産実績構成マスタ－アクセス制限</t>
    <phoneticPr fontId="8"/>
  </si>
  <si>
    <t>PRODUCTION_COMPONENTS_MASTER_ITEM</t>
    <phoneticPr fontId="8"/>
  </si>
  <si>
    <t>生産実績構成マスタ－項目</t>
    <phoneticPr fontId="8"/>
  </si>
  <si>
    <t>PRODUCTION_COMPONENTS_MASTER_ITEM_RESTRICTION</t>
    <phoneticPr fontId="8"/>
  </si>
  <si>
    <t>生産実績構成マスタ－項目－アクセス制限</t>
    <phoneticPr fontId="8"/>
  </si>
  <si>
    <t>PRODUCTION_COMPONENTS_MASTER_ITEM_STANDARD_VALUE</t>
    <phoneticPr fontId="8"/>
  </si>
  <si>
    <t>生産実績構成マスタ－項目－標準値</t>
    <phoneticPr fontId="8"/>
  </si>
  <si>
    <t>PRODUCTION_WORK_MASTER</t>
    <phoneticPr fontId="8"/>
  </si>
  <si>
    <t>生産実績作業マスタ</t>
    <phoneticPr fontId="8"/>
  </si>
  <si>
    <t>PRODUCTION_WORK_MASTER_RESTRICTION</t>
    <phoneticPr fontId="8"/>
  </si>
  <si>
    <t>生産実績作業マスタ－アクセス制限</t>
    <phoneticPr fontId="8"/>
  </si>
  <si>
    <t>PRODUCTION_WORK_MASTER_ITEM</t>
    <phoneticPr fontId="8"/>
  </si>
  <si>
    <t>生産実績作業マスタ－項目</t>
    <phoneticPr fontId="8"/>
  </si>
  <si>
    <t>生産実績作業マスタ－項目－アクセス制限</t>
    <phoneticPr fontId="8"/>
  </si>
  <si>
    <t>PRODUCTION_INSPECTION_MASTER</t>
    <phoneticPr fontId="8"/>
  </si>
  <si>
    <t>生産実績検査マスタ</t>
    <phoneticPr fontId="8"/>
  </si>
  <si>
    <t>PRODUCTION_INSPECTION_MASTER_RESTRICTION</t>
    <phoneticPr fontId="8"/>
  </si>
  <si>
    <t>生産実績検査マスタ－アクセス制限</t>
    <phoneticPr fontId="8"/>
  </si>
  <si>
    <t>PRODUCTION_INSPECTION_MASTER_ITEM</t>
    <phoneticPr fontId="8"/>
  </si>
  <si>
    <t>生産実績検査マスタ－項目</t>
    <phoneticPr fontId="8"/>
  </si>
  <si>
    <t>PRODUCTION_INSPECTION_MASTER_ITEM_RESTRICTION</t>
    <phoneticPr fontId="8"/>
  </si>
  <si>
    <t>生産実績検査マスタ－項目－アクセス制限</t>
    <phoneticPr fontId="8"/>
  </si>
  <si>
    <t>PRODUCTION_INSPECTION_MASTER_ITEM_SELECT_LIST</t>
    <phoneticPr fontId="8"/>
  </si>
  <si>
    <t>生産実績検査マスタ－項目－選択肢</t>
    <phoneticPr fontId="8"/>
  </si>
  <si>
    <t>PRODUCTION_INSPECTION_MASTER_ITEM_STANDARD_VALUE</t>
    <phoneticPr fontId="8"/>
  </si>
  <si>
    <t>生産実績検査マスタ－項目－標準値</t>
    <phoneticPr fontId="8"/>
  </si>
  <si>
    <t>PRODUCTION_INSPECTION_MASTER_ITEM_CONDITION</t>
    <phoneticPr fontId="8"/>
  </si>
  <si>
    <t>生産実績検査マスタ－項目－条件</t>
    <phoneticPr fontId="8"/>
  </si>
  <si>
    <t>PRODUCTION_INSPECTION_MASTER_ITEM_CONDITION_RESTRICTION</t>
    <phoneticPr fontId="8"/>
  </si>
  <si>
    <t>生産実績検査マスタ－項目－条件－アクセス制限</t>
    <phoneticPr fontId="8"/>
  </si>
  <si>
    <t>PRODUCTION_INSPECTION_MASTER_ITEM_CONDITION_STANDARD_VALUE</t>
    <phoneticPr fontId="8"/>
  </si>
  <si>
    <t>生産実績検査マスタ－項目－条件－標準値</t>
    <phoneticPr fontId="8"/>
  </si>
  <si>
    <t>PRODUCTION_MEASUREMENT_MASTER</t>
    <phoneticPr fontId="8"/>
  </si>
  <si>
    <t>生産実績測定マスタ</t>
    <phoneticPr fontId="8"/>
  </si>
  <si>
    <t>PRODUCTION_MEASUREMENT_MASTER_RESTRICTION</t>
    <phoneticPr fontId="8"/>
  </si>
  <si>
    <t>生産実績測定マスタ－アクセス制限</t>
    <phoneticPr fontId="8"/>
  </si>
  <si>
    <t>PRODUCTION_MEASUREMENT_MASTER_ITEM</t>
    <phoneticPr fontId="8"/>
  </si>
  <si>
    <t>生産実績測定マスタ－項目</t>
    <phoneticPr fontId="8"/>
  </si>
  <si>
    <t>PRODUCTION_MEASUREMENT_MASTER_ITEM_RESTRICTION</t>
    <phoneticPr fontId="8"/>
  </si>
  <si>
    <t>生産実績測定マスタ－項目－アクセス制限</t>
    <phoneticPr fontId="8"/>
  </si>
  <si>
    <t>PRODUCTION_MEASUREMENT_MASTER_ITEM_STANDARD_VALUE</t>
    <phoneticPr fontId="8"/>
  </si>
  <si>
    <t>生産実績測定マスタ－項目－標準値</t>
    <phoneticPr fontId="8"/>
  </si>
  <si>
    <t>PRODUCTION_MEASUREMENT_MASTER_ITEM_CONDITION</t>
    <phoneticPr fontId="8"/>
  </si>
  <si>
    <t>生産実績測定マスタ－項目－条件</t>
    <phoneticPr fontId="8"/>
  </si>
  <si>
    <t>生産実績測定マスタ－項目－条件－アクセス制限</t>
    <phoneticPr fontId="8"/>
  </si>
  <si>
    <t>PRODUCTION_MEASUREMENT_MASTER_ITEM_CONDITION_STANDARD_VALUE</t>
    <phoneticPr fontId="8"/>
  </si>
  <si>
    <t>生産実績測定マスタ－項目－条件－標準値</t>
    <phoneticPr fontId="8"/>
  </si>
  <si>
    <t>OPERATION_PLAN</t>
    <phoneticPr fontId="8"/>
  </si>
  <si>
    <t>稼動計画</t>
    <phoneticPr fontId="8"/>
  </si>
  <si>
    <t>OPERATION_PLAN_RESTRICTION</t>
    <phoneticPr fontId="8"/>
  </si>
  <si>
    <t>稼動計画－アクセス制限</t>
    <phoneticPr fontId="8"/>
  </si>
  <si>
    <t>OPERATION_PLAN_OPERATE_ATTACHEDINFO</t>
    <phoneticPr fontId="8"/>
  </si>
  <si>
    <t>稼動計画－稼動付属情報</t>
    <phoneticPr fontId="8"/>
  </si>
  <si>
    <t>OPERATION_PLAN_OPERATION_PLAN</t>
    <phoneticPr fontId="8"/>
  </si>
  <si>
    <t>稼動計画－稼動実績計画</t>
    <phoneticPr fontId="8"/>
  </si>
  <si>
    <t>OPERATION_PLAN_OPERATION_PLAN_RESTRICTION</t>
    <phoneticPr fontId="8"/>
  </si>
  <si>
    <t>稼動計画－稼動実績計画－アクセス制限</t>
    <phoneticPr fontId="8"/>
  </si>
  <si>
    <t>OPERATION_PLAN_OPERATION_PLAN_PLANNED_VALUE</t>
    <phoneticPr fontId="8"/>
  </si>
  <si>
    <t>稼動計画－稼動実績計画－計画値</t>
    <phoneticPr fontId="8"/>
  </si>
  <si>
    <t>OPERATION_PLAN_OPERATION_PLAN_PRODUCTION_PLAN</t>
    <phoneticPr fontId="8"/>
  </si>
  <si>
    <t>稼動計画－稼動実績計画－生産計画</t>
    <phoneticPr fontId="8"/>
  </si>
  <si>
    <t>OPERATION_PLAN_OPERATION_BASIC</t>
    <phoneticPr fontId="8"/>
  </si>
  <si>
    <t>稼動計画－稼動実績基本</t>
    <phoneticPr fontId="8"/>
  </si>
  <si>
    <t>OPERATION_PLAN_OPERATION_BASIC_RESTRICTION</t>
    <phoneticPr fontId="8"/>
  </si>
  <si>
    <t>稼動計画－稼動実績基本－アクセス制限</t>
    <phoneticPr fontId="8"/>
  </si>
  <si>
    <t>OPERATION_PLAN_OPERATION_BASIC_PARAMETER</t>
    <phoneticPr fontId="8"/>
  </si>
  <si>
    <t>稼動計画－稼動実績基本－稼動パラメータ</t>
    <phoneticPr fontId="8"/>
  </si>
  <si>
    <t>OPERATION_PLAN_OPERATION_BASIC_PARAMETER_RESTRICTION</t>
    <phoneticPr fontId="8"/>
  </si>
  <si>
    <t>稼動計画－稼動実績基本－稼動パラメータ－アクセス制限</t>
    <phoneticPr fontId="8"/>
  </si>
  <si>
    <t>OPERATION_PLAN_OPERATION_BASIC_PARAMETER_OPERATE_CODE</t>
    <phoneticPr fontId="8"/>
  </si>
  <si>
    <t>稼動計画－稼動実績基本－稼動パラメータ－稼動側識別名</t>
    <phoneticPr fontId="8"/>
  </si>
  <si>
    <t>OPERATION_PLAN_OPERATION_BASIC_PARAMETER_PLANNED_VALUE</t>
    <phoneticPr fontId="8"/>
  </si>
  <si>
    <t>稼動計画－稼動実績基本－稼動パラメータ－計画値</t>
    <phoneticPr fontId="8"/>
  </si>
  <si>
    <t>OPERATION_PLAN_OPERATION_BASIC_HISTORY_RESTRICTION</t>
    <phoneticPr fontId="8"/>
  </si>
  <si>
    <t>稼動計画－稼動実績基本－稼動ステータス履歴－アクセス制限</t>
    <phoneticPr fontId="8"/>
  </si>
  <si>
    <t>OPERATION_PLAN_OPERATION_BASIC_HISTORY_CYCLE_TIME</t>
    <phoneticPr fontId="8"/>
  </si>
  <si>
    <t>稼動計画－稼動実績基本－稼動ステータス履歴－サイクルタイム</t>
    <phoneticPr fontId="8"/>
  </si>
  <si>
    <t>OPERATION_PLAN_OPERATION_BASIC_HISTORY_CYCLE_TIME_OPERATE_CODE</t>
    <phoneticPr fontId="8"/>
  </si>
  <si>
    <t>稼動計画－稼動実績基本－稼動ステータス履歴－サイクルタイム－稼</t>
    <phoneticPr fontId="8"/>
  </si>
  <si>
    <t>OPERATION_PLAN_OPERATION_BASIC_CYCLE_TIME_PLANNED_VALUE</t>
    <phoneticPr fontId="8"/>
  </si>
  <si>
    <t>稼動計画－稼動実績基本－稼動ステータス履歴－サイクルタイム－計</t>
    <phoneticPr fontId="8"/>
  </si>
  <si>
    <t>OPERATION_PLAN_OPERATION_CAPACITY</t>
    <phoneticPr fontId="8"/>
  </si>
  <si>
    <t>稼動計画－稼動実績能力</t>
    <phoneticPr fontId="8"/>
  </si>
  <si>
    <t>OPERATION_PLAN_OPERATION_CAPACITY_RESTRICTION</t>
    <phoneticPr fontId="8"/>
  </si>
  <si>
    <t>稼動計画－稼動実績能力－アクセス制限</t>
    <phoneticPr fontId="8"/>
  </si>
  <si>
    <t>OPERATION_PLAN_OPERATION_CAPACITY_ITEM</t>
    <phoneticPr fontId="8"/>
  </si>
  <si>
    <t>稼動計画－稼動実績能力－項目</t>
    <phoneticPr fontId="8"/>
  </si>
  <si>
    <t>稼動計画－稼動実績能力－項目－アクセス制限</t>
    <phoneticPr fontId="8"/>
  </si>
  <si>
    <t>OPERATION_PLAN_OPERATION_CAPACITY_ITEM_OPERATE_CODE</t>
    <phoneticPr fontId="8"/>
  </si>
  <si>
    <t>稼動計画－稼動実績能力－項目－稼動側識別名</t>
    <phoneticPr fontId="8"/>
  </si>
  <si>
    <t>OPERATION_PLAN_OPERATION_INSPECTION</t>
    <phoneticPr fontId="8"/>
  </si>
  <si>
    <t>稼動計画－稼動実績点検</t>
    <phoneticPr fontId="8"/>
  </si>
  <si>
    <t>OPERATION_PLAN_OPERATION_INSPECTION_RESTRICTION</t>
    <phoneticPr fontId="8"/>
  </si>
  <si>
    <t>稼動計画－稼動実績点検－アクセス制限</t>
    <phoneticPr fontId="8"/>
  </si>
  <si>
    <t>OPERATION_PLAN_OPERATION_INSPECTION_ITEM</t>
    <phoneticPr fontId="8"/>
  </si>
  <si>
    <t>稼動計画－稼動実績点検－項目</t>
    <phoneticPr fontId="8"/>
  </si>
  <si>
    <t>OPERATION_PLAN_OPERATION_INSPECTION_ITEM_RESTRICTION</t>
    <phoneticPr fontId="8"/>
  </si>
  <si>
    <t>稼動計画－稼動実績点検－項目－アクセス制限</t>
    <phoneticPr fontId="8"/>
  </si>
  <si>
    <t>OPERATION_PLAN_OPERATION_INSPECTION_ITEM_OPERATE_CODE</t>
    <phoneticPr fontId="8"/>
  </si>
  <si>
    <t>稼動計画－稼動実績点検－項目－稼動側識別名</t>
    <phoneticPr fontId="8"/>
  </si>
  <si>
    <t>OPERATION_PLAN_OPERATION_REPLACEMENT</t>
    <phoneticPr fontId="8"/>
  </si>
  <si>
    <t>稼動計画－稼動実績交換</t>
    <phoneticPr fontId="8"/>
  </si>
  <si>
    <t>OPERATION_PLAN_OPERATION_REPLACEMENT_RESTRICTION</t>
    <phoneticPr fontId="8"/>
  </si>
  <si>
    <t>稼動計画－稼動実績交換－アクセス制限</t>
    <phoneticPr fontId="8"/>
  </si>
  <si>
    <t>OPERATION_PLAN_OPERATION_REPLACEMENT_ITEM</t>
    <phoneticPr fontId="8"/>
  </si>
  <si>
    <t>稼動計画－稼動実績交換－項目</t>
    <phoneticPr fontId="8"/>
  </si>
  <si>
    <t>OPERATION_PLAN_OPERATION_REPLACEMENT_ITEM_RESTRICTION</t>
    <phoneticPr fontId="8"/>
  </si>
  <si>
    <t>稼動計画－稼動実績交換－項目－アクセス制限</t>
    <phoneticPr fontId="8"/>
  </si>
  <si>
    <t>OPERATION_PLAN_OPERATION_REPLACEMENT_ITEM_OPERATE_CODE</t>
    <phoneticPr fontId="8"/>
  </si>
  <si>
    <t>稼動計画－稼動実績交換－項目－稼動側識別名</t>
    <phoneticPr fontId="8"/>
  </si>
  <si>
    <t>OPERATION_PLAN_OPERATION_REPLACEMENT_ITEM_CONFIRMATION</t>
    <phoneticPr fontId="8"/>
  </si>
  <si>
    <t>稼動計画－稼動実績交換－項目－交換確認</t>
    <phoneticPr fontId="8"/>
  </si>
  <si>
    <t>OPERATION_PLAN_OPERATION_REPLACEMENT_ITEM_CONFIRMATION_RESTRICTION</t>
    <phoneticPr fontId="8"/>
  </si>
  <si>
    <t>稼動計画－稼動実績交換－項目－交換確認－アクセス制限</t>
    <phoneticPr fontId="8"/>
  </si>
  <si>
    <t>OPERATION_PLAN_OPERATION_REPLACEMENT_ITEM_CONFIRMATION_ITEM</t>
    <phoneticPr fontId="8"/>
  </si>
  <si>
    <t>稼動計画－稼動実績交換－項目－交換確認－項目</t>
    <phoneticPr fontId="8"/>
  </si>
  <si>
    <t>OPERATION_PLAN_OPERATION_REPLACEMENT_ITEM_CONFIRMATION_ITEM_RESTRICTION</t>
    <phoneticPr fontId="8"/>
  </si>
  <si>
    <t>稼動計画－稼動実績交換－項目－交換確認－項目－アクセス制限</t>
    <phoneticPr fontId="8"/>
  </si>
  <si>
    <t>OPERATION_PLAN_OPERATION_REPLACEMENT_ITEM_CONFIRMATION_ITEM_OPERATE_CODE</t>
    <phoneticPr fontId="8"/>
  </si>
  <si>
    <t>稼動計画－稼動実績交換－項目－交換確認－項目－稼動側識別名</t>
    <phoneticPr fontId="8"/>
  </si>
  <si>
    <t>OPERATION_PLAN_OPERATION_REPLACEMENT_ITEM_CONFIRMATION_ITEM_PLANNED_VALUE</t>
    <phoneticPr fontId="8"/>
  </si>
  <si>
    <t>稼動計画－稼動実績交換－項目－交換確認－項目－計画値</t>
    <phoneticPr fontId="8"/>
  </si>
  <si>
    <t>OPERATION_PLAN_OPERATION_REPLACEMENT_ITEM_CONFIRMATION_ITEM_CONDITION</t>
    <phoneticPr fontId="8"/>
  </si>
  <si>
    <t>稼動計画－稼動実績交換－項目－交換確認－項目－条件</t>
    <phoneticPr fontId="8"/>
  </si>
  <si>
    <t>OPERATION_PLAN_OPERATION_REPLACEMENT_ITEM_CONFIRMATION_ITEM_CONDITION_RESTRICTION</t>
    <phoneticPr fontId="8"/>
  </si>
  <si>
    <t>稼動計画－稼動実績交換－項目－交換確認－項目－条件－アクセス制</t>
    <phoneticPr fontId="8"/>
  </si>
  <si>
    <t>OPERATION_PLAN_OPERATION_REPLACEMENT_ITEM_CONFIRMATION_ITEM_CONDITION_OPERATE_CODE</t>
    <phoneticPr fontId="8"/>
  </si>
  <si>
    <t>稼動計画－稼動実績交換－項目－交換確認－項目－条件－稼動側識別</t>
    <phoneticPr fontId="8"/>
  </si>
  <si>
    <t>OPERATION_PLAN_OPERATION_REPLACEMENT_ITEM_CONFIRMATION_ITEM_CONDITION_PLANNED_VALUE</t>
    <phoneticPr fontId="8"/>
  </si>
  <si>
    <t>稼動計画－稼動実績交換－項目－交換確認－項目－条件－計画値</t>
    <phoneticPr fontId="8"/>
  </si>
  <si>
    <t>OPERATION_PLAN_OPERATION_ANOMALY</t>
    <phoneticPr fontId="8"/>
  </si>
  <si>
    <t>稼動計画－稼動異常</t>
    <phoneticPr fontId="8"/>
  </si>
  <si>
    <t>OPERATION_PLAN_OPERATION_ANOMALY_RESTRICTION</t>
    <phoneticPr fontId="8"/>
  </si>
  <si>
    <t>稼動計画－稼動異常－アクセス制限</t>
    <phoneticPr fontId="8"/>
  </si>
  <si>
    <t>OPERATION_PLAN_OPERATION_ANOMALY_ANOMALY_RESTRICTION</t>
    <phoneticPr fontId="8"/>
  </si>
  <si>
    <t>稼動計画－稼動異常－異常－アクセス制限</t>
    <phoneticPr fontId="8"/>
  </si>
  <si>
    <t>OPERATION_PLAN_OPERATION_ANOMALY_TREAT_RESTRICTION</t>
    <phoneticPr fontId="8"/>
  </si>
  <si>
    <t>稼動計画－稼動異常－処置－アクセス制限</t>
    <phoneticPr fontId="8"/>
  </si>
  <si>
    <t>OPERATION_PLAN_OPERATION_ANOMALY_OCCURRENCE_CAUSE_RESTRICTION</t>
    <phoneticPr fontId="8"/>
  </si>
  <si>
    <t>稼動計画－稼動異常－発生原因－アクセス制限</t>
    <phoneticPr fontId="8"/>
  </si>
  <si>
    <t>OPERATION_PLAN_OPERATION_ANOMALY_OCCURRENCE_MEASURE_RESTRICTION</t>
    <phoneticPr fontId="8"/>
  </si>
  <si>
    <t>稼動計画－稼動異常－発生対策－アクセス制限</t>
    <phoneticPr fontId="8"/>
  </si>
  <si>
    <t>OPERATION_PLAN_OPERATION_ANOMALY_SPILL_CAUSE_RESTRICTION</t>
    <phoneticPr fontId="8"/>
  </si>
  <si>
    <t>稼動計画－稼動異常－流出原因－アクセス制限</t>
    <phoneticPr fontId="8"/>
  </si>
  <si>
    <t>OPERATION_PLAN_OPERATION_ANOMALY_SPILL_MEASURE_RESTRICTION</t>
    <phoneticPr fontId="8"/>
  </si>
  <si>
    <t>稼動計画－稼動異常－流出対策－アクセス制限</t>
    <phoneticPr fontId="8"/>
  </si>
  <si>
    <t>OPERATION_PLAN_OPERATION_ANOMALY_CONFIRM_RESTRICTION</t>
    <phoneticPr fontId="8"/>
  </si>
  <si>
    <t>稼動計画－稼動異常－効果確認－アクセス制限</t>
    <phoneticPr fontId="8"/>
  </si>
  <si>
    <t>OPERATION_PLAN_OPERATION_ANOMALY_ANOMALY</t>
    <phoneticPr fontId="8"/>
  </si>
  <si>
    <t>稼動計画－稼動異常－異常(区分)</t>
    <phoneticPr fontId="8"/>
  </si>
  <si>
    <t>OPERATION_PLAN_OPERATION_ANOMALY_ANOMALY_RANK</t>
    <phoneticPr fontId="8"/>
  </si>
  <si>
    <t>稼動計画－稼動異常－異常(ランク)</t>
    <phoneticPr fontId="8"/>
  </si>
  <si>
    <t>OPERATION_PLAN_OPERATION_ANOMALY_ANOMALY_LINEOUT</t>
    <phoneticPr fontId="8"/>
  </si>
  <si>
    <t>稼動計画－稼動異常－異常(ライン落ち)</t>
    <phoneticPr fontId="8"/>
  </si>
  <si>
    <t>OPERATION_PLAN_OPERATION_ANOMALY_ANOMALY_SOMETHING</t>
    <phoneticPr fontId="8"/>
  </si>
  <si>
    <t>稼動計画－稼動異常－異常(何変)</t>
    <phoneticPr fontId="8"/>
  </si>
  <si>
    <t>OPERATION_PLAN_OPERATION_ANOMALY_ANOMALY_DISCOVER_SECTION</t>
    <phoneticPr fontId="8"/>
  </si>
  <si>
    <t>稼動計画－稼動異常－異常(発見区)</t>
    <phoneticPr fontId="8"/>
  </si>
  <si>
    <t>OPERATION_PLAN_OPERATION_ANOMALY_TREAT_CATEGORY</t>
    <phoneticPr fontId="8"/>
  </si>
  <si>
    <t>稼動計画－稼動異常－処置(分類)</t>
    <phoneticPr fontId="8"/>
  </si>
  <si>
    <t>OPERATION_PLAN_OPERATION_ANOMALY_TREAT_UNREPEAT</t>
    <phoneticPr fontId="8"/>
  </si>
  <si>
    <t>稼動計画－稼動異常－処置(不再現)</t>
    <phoneticPr fontId="8"/>
  </si>
  <si>
    <t>OPERATION_PLAN_OPERATION_ANOMALY_OCCURRENCE_CAUSE_CATEGORY</t>
    <phoneticPr fontId="8"/>
  </si>
  <si>
    <t>稼動計画－稼動異常－発生原因(分類)</t>
    <phoneticPr fontId="8"/>
  </si>
  <si>
    <t>OPERATION_PLAN_OPERATION_ANOMALY_OCCURRENCE_CAUSE_RESPONSIBLE_SECTION</t>
    <phoneticPr fontId="8"/>
  </si>
  <si>
    <t>稼動計画－稼動異常－発生原因(責任区)</t>
    <phoneticPr fontId="8"/>
  </si>
  <si>
    <t>OPERATION_PLAN_OPERATION_ANOMALY_OCCURRENCE_CAUSE_OCCURRENCE_SECTION</t>
    <phoneticPr fontId="8"/>
  </si>
  <si>
    <t>稼動計画－稼動異常－発生原因(発生区)</t>
    <phoneticPr fontId="8"/>
  </si>
  <si>
    <t>OPERATION_PLAN_OPERATION_ANOMALY_OCCURRENCE_MEASURE_CATEGORY</t>
    <phoneticPr fontId="8"/>
  </si>
  <si>
    <t>稼動計画－稼動異常－発生対策(分類)</t>
    <phoneticPr fontId="8"/>
  </si>
  <si>
    <t>OPERATION_PLAN_OPERATION_ANOMALY_SPILL_CAUSE_CATEGORY</t>
    <phoneticPr fontId="8"/>
  </si>
  <si>
    <t>稼動計画－稼動異常－流出原因(分類)</t>
    <phoneticPr fontId="8"/>
  </si>
  <si>
    <t>OPERATION_PLAN_OPERATION_ANOMALY_SPILL_CAUSE_RESPONSIBLE_SECTION</t>
    <phoneticPr fontId="8"/>
  </si>
  <si>
    <t>稼動計画－稼動異常－流出原因(責任区)</t>
    <phoneticPr fontId="8"/>
  </si>
  <si>
    <t>OPERATION_PLAN_OPERATION_ANOMALY_SPILL_CAUSE_OCCURRENCE_SECTION</t>
    <phoneticPr fontId="8"/>
  </si>
  <si>
    <t>稼動計画－稼動異常－流出原因(発生区)</t>
    <phoneticPr fontId="8"/>
  </si>
  <si>
    <t>OPERATION_PLAN_OPERATION_ANOMALY_SPILL_MEASURE_CATEGORY</t>
    <phoneticPr fontId="8"/>
  </si>
  <si>
    <t>稼動計画－稼動異常－流出対策(分類)</t>
    <phoneticPr fontId="8"/>
  </si>
  <si>
    <t>OPERATION_PLAN_OPERATION_ANOMALY_CONFIRM_DECISION</t>
    <phoneticPr fontId="8"/>
  </si>
  <si>
    <t>稼動計画－稼動異常－効果確認(判定)</t>
    <phoneticPr fontId="8"/>
  </si>
  <si>
    <t>OPERATION_PLAN_OPERATION_ANOMALY_CONFIRM_CONTENT</t>
    <phoneticPr fontId="8"/>
  </si>
  <si>
    <t>稼動計画－稼動異常－効果確認(内容)</t>
    <phoneticPr fontId="8"/>
  </si>
  <si>
    <t>OPERATION_PLAN_OPERATION_ANOMALY_SET</t>
    <phoneticPr fontId="8"/>
  </si>
  <si>
    <t>稼動計画－稼動異常セット</t>
    <phoneticPr fontId="8"/>
  </si>
  <si>
    <t>OPERATION_RESULT_MONITOR</t>
    <phoneticPr fontId="8"/>
  </si>
  <si>
    <t>稼動実績－状況</t>
    <phoneticPr fontId="8"/>
  </si>
  <si>
    <t>OPERATION_RESULT_OPERATION_CAPACITY</t>
    <phoneticPr fontId="8"/>
  </si>
  <si>
    <t>稼動実績－稼動実績能力</t>
    <phoneticPr fontId="8"/>
  </si>
  <si>
    <t>OPERATION_RESULT_PRODUCT</t>
    <phoneticPr fontId="8"/>
  </si>
  <si>
    <t>稼動実績－品種別実績</t>
    <phoneticPr fontId="8"/>
  </si>
  <si>
    <t>OPERATION_RESULT_PRODUCT_CYCLE_TIME</t>
    <phoneticPr fontId="8"/>
  </si>
  <si>
    <t>稼動実績－品種別実績－サイクルタイム</t>
    <phoneticPr fontId="8"/>
  </si>
  <si>
    <t>OPERATION_DETAIL_OPERATION_BASIC</t>
    <phoneticPr fontId="8"/>
  </si>
  <si>
    <t>稼動明細－稼動実績基本</t>
    <phoneticPr fontId="8"/>
  </si>
  <si>
    <t>OPERATION_DETAIL_OPERATION_BASIC_PARAMETER</t>
    <phoneticPr fontId="8"/>
  </si>
  <si>
    <t>稼動明細－稼動実績基本－稼動パラメータ</t>
    <phoneticPr fontId="8"/>
  </si>
  <si>
    <t>OPERATION_DETAIL_OPERATION_BASIC_HISTORY</t>
    <phoneticPr fontId="8"/>
  </si>
  <si>
    <t>稼動明細－稼動実績基本－稼動ステータス履歴</t>
    <phoneticPr fontId="8"/>
  </si>
  <si>
    <t>OPERATION_DETAIL_OPERATION_BASIC_HISTORY_CYCLE_TIME</t>
    <phoneticPr fontId="8"/>
  </si>
  <si>
    <t>稼動明細－稼動実績基本－稼働ステータス履歴－サイクルタイム</t>
    <phoneticPr fontId="8"/>
  </si>
  <si>
    <t>OPERATION_DETAIL_OPERATION_CAPACITY</t>
    <phoneticPr fontId="8"/>
  </si>
  <si>
    <t>稼動明細－稼動実績能力</t>
    <phoneticPr fontId="8"/>
  </si>
  <si>
    <t>OPERATION_DETAIL_OPERATION_INSPECTION</t>
    <phoneticPr fontId="8"/>
  </si>
  <si>
    <t>稼動明細－稼動実績点検</t>
    <phoneticPr fontId="8"/>
  </si>
  <si>
    <t>OPERATION_DETAIL_OPERATION_INSPECTION_ATTACHED_FILE</t>
    <phoneticPr fontId="8"/>
  </si>
  <si>
    <t>稼動明細－稼動実績点検－添付</t>
    <phoneticPr fontId="8"/>
  </si>
  <si>
    <t>OPERATION_DETAIL_OPERATION_REPLACEMENT</t>
    <phoneticPr fontId="8"/>
  </si>
  <si>
    <t>稼動明細－稼動実績交換</t>
    <phoneticPr fontId="8"/>
  </si>
  <si>
    <t>OPERATION_DETAIL_OPERATION_REPLACEMENT_ATTACHED_FILE</t>
    <phoneticPr fontId="8"/>
  </si>
  <si>
    <t>稼動明細－稼動実績交換－添付</t>
    <phoneticPr fontId="8"/>
  </si>
  <si>
    <t>OPERATION_DETAIL_OPERATION_REPLACEMENT_CONFIRMATION</t>
    <phoneticPr fontId="8"/>
  </si>
  <si>
    <t>稼動明細－稼動実績交換－交換確認</t>
    <phoneticPr fontId="8"/>
  </si>
  <si>
    <t>OPERATION_DETAIL_OPERATION_REPLACEMENT_CONFIRMATION_ITEM_CONDITION</t>
    <phoneticPr fontId="8"/>
  </si>
  <si>
    <t>稼働明細－稼動実績交換－交換確認－条件</t>
    <phoneticPr fontId="8"/>
  </si>
  <si>
    <t>OPERATION_DETAIL_OPERATION_REPLACEMENT_CONFIRMATION_ATTACHED_FILE</t>
    <phoneticPr fontId="8"/>
  </si>
  <si>
    <t>稼働明細－稼動実績交換－交換確認－添付</t>
    <phoneticPr fontId="8"/>
  </si>
  <si>
    <t>OPERATION_INSPECTION_PREPERFORMANCE_PLAN</t>
    <phoneticPr fontId="8"/>
  </si>
  <si>
    <t>稼動点検予実績－計画</t>
    <phoneticPr fontId="8"/>
  </si>
  <si>
    <t>OPERATION_INSPECTION_PREPERFORMANCE_RESULT</t>
    <phoneticPr fontId="8"/>
  </si>
  <si>
    <t>稼動点検予実績－実績</t>
    <phoneticPr fontId="8"/>
  </si>
  <si>
    <t>OPERATION_REPLACEMENT_PREPERFORMANCE_PLAN</t>
    <phoneticPr fontId="8"/>
  </si>
  <si>
    <t>稼動交換予実績－計画</t>
    <phoneticPr fontId="8"/>
  </si>
  <si>
    <t>OPERATION_REPLACEMENT_PREPERFORMANCE_RESULT</t>
    <phoneticPr fontId="8"/>
  </si>
  <si>
    <t>稼動交換予実績－実績</t>
    <phoneticPr fontId="8"/>
  </si>
  <si>
    <t>OPERATION_ACCURACY_INSPECTION_PLAN</t>
    <phoneticPr fontId="8"/>
  </si>
  <si>
    <t>稼動精度検査－計画</t>
    <phoneticPr fontId="8"/>
  </si>
  <si>
    <t>OPERATION_ACCURACY_INSPECTION_PLAN_RESTRICTION</t>
    <phoneticPr fontId="8"/>
  </si>
  <si>
    <t>稼動精度検査－計画－アクセス制限</t>
    <phoneticPr fontId="8"/>
  </si>
  <si>
    <t>OPERATION_ACCURACY_INSPECTION_PLAN_ITEM</t>
    <phoneticPr fontId="8"/>
  </si>
  <si>
    <t>稼動精度検査－計画－項目</t>
    <phoneticPr fontId="8"/>
  </si>
  <si>
    <t>OPERATION_ACCURACY_INSPECTION_PLAN_ITEM_RESTRICTION</t>
    <phoneticPr fontId="8"/>
  </si>
  <si>
    <t>稼動精度検査－計画－項目－アクセス制限</t>
    <phoneticPr fontId="8"/>
  </si>
  <si>
    <t>OPERATION_ACCURACY_INSPECTION_RESULT</t>
    <phoneticPr fontId="8"/>
  </si>
  <si>
    <t>稼動精度検査－実績</t>
    <phoneticPr fontId="8"/>
  </si>
  <si>
    <t>OPERATION_ACCURACY_INSPECTION__RESULT_ATTACHED_FILE</t>
    <phoneticPr fontId="8"/>
  </si>
  <si>
    <t>稼動精度検査－実績－添付</t>
    <phoneticPr fontId="8"/>
  </si>
  <si>
    <t>OPERATION_INTERVAL_INSPECTION_PLAN</t>
    <phoneticPr fontId="8"/>
  </si>
  <si>
    <t>稼動インターバル検査－計画</t>
    <phoneticPr fontId="8"/>
  </si>
  <si>
    <t>OPERATION_INTERVAL_INSPECTION_PLAN_RESTRICTION</t>
    <phoneticPr fontId="8"/>
  </si>
  <si>
    <t>稼動インターバル検査－計画－アクセス制限</t>
    <phoneticPr fontId="8"/>
  </si>
  <si>
    <t>OPERATION_INTERVAL_INSPECTION_PLAN_ITEM</t>
    <phoneticPr fontId="8"/>
  </si>
  <si>
    <t>稼動インターバル検査－計画－項目</t>
    <phoneticPr fontId="8"/>
  </si>
  <si>
    <t>OPERATION_INTERVAL_INSPECTION_PLAN_ITEM_RESTRICTION</t>
    <phoneticPr fontId="8"/>
  </si>
  <si>
    <t>稼動インターバル検査－計画－項目－アクセス制限</t>
    <phoneticPr fontId="8"/>
  </si>
  <si>
    <t>OPERATION_INTERVAL_INSPECTION_PLAN_ITEM_OPERATE_CODE</t>
    <phoneticPr fontId="8"/>
  </si>
  <si>
    <t>稼動インターバル検査－計画－項目－稼動側識別名</t>
    <phoneticPr fontId="8"/>
  </si>
  <si>
    <t>OPERATION_INTERVAL_INSPECTION_PLAN_ITEM_PLANNED_VALUE</t>
    <phoneticPr fontId="8"/>
  </si>
  <si>
    <t>稼動インターバール検査－計画－項目－計画値</t>
    <phoneticPr fontId="8"/>
  </si>
  <si>
    <t>OPERATION_INTERVAL_INSPECTION_PLAN_ITEM_CONDITION</t>
    <phoneticPr fontId="8"/>
  </si>
  <si>
    <t>稼動インターバル検査－計画－項目－条件</t>
    <phoneticPr fontId="8"/>
  </si>
  <si>
    <t>OPERATION_INTERVAL_INSPECTION_PLAN_ITEM_CONDITION_RESTRICTION</t>
    <phoneticPr fontId="8"/>
  </si>
  <si>
    <t>稼動インターバル検査－計画－項目－条件－アクセス制限</t>
    <phoneticPr fontId="8"/>
  </si>
  <si>
    <t>OPERATION_INTERVAL_INSPECTION_PLAN_ITEM_CONDITION_OPERATE_CODE</t>
    <phoneticPr fontId="8"/>
  </si>
  <si>
    <t>稼動インターバル検査－計画－項目－条件－稼動側識別名</t>
    <phoneticPr fontId="8"/>
  </si>
  <si>
    <t>OPERATION_INTERVAL_INSPECTION_PLAN_ITEM_CONDITION_PLANNED_VALUE</t>
    <phoneticPr fontId="8"/>
  </si>
  <si>
    <t>稼動インターバル検査－計画－項目－条件－計画値</t>
    <phoneticPr fontId="8"/>
  </si>
  <si>
    <t>OPERATION_INTERVAL_INSPECTION_RESULT</t>
    <phoneticPr fontId="8"/>
  </si>
  <si>
    <t>稼動インターバル検査－実績</t>
    <phoneticPr fontId="8"/>
  </si>
  <si>
    <t>OPERATION_INTERVAL_INSPECTION_RESULT_ITEM_CONDITION</t>
    <phoneticPr fontId="8"/>
  </si>
  <si>
    <t>稼動インターバル検査－実績－条件</t>
    <phoneticPr fontId="8"/>
  </si>
  <si>
    <t>OPERATION_INTERVAL_INSPECTION_RESULT_ATTACHED_FILE</t>
    <phoneticPr fontId="8"/>
  </si>
  <si>
    <t>稼動インターバル検査－実績－添付</t>
    <phoneticPr fontId="8"/>
  </si>
  <si>
    <t>OPERATION_ANOMALY</t>
    <phoneticPr fontId="8"/>
  </si>
  <si>
    <t>稼動異常・対応実績</t>
    <phoneticPr fontId="8"/>
  </si>
  <si>
    <t>OPERATION_ANOMALY_ATTACHED_FILE</t>
    <phoneticPr fontId="8"/>
  </si>
  <si>
    <t>稼動異常・対応実績－添付</t>
    <phoneticPr fontId="8"/>
  </si>
  <si>
    <t>SOI_LOCATION_OPERATE</t>
    <phoneticPr fontId="8"/>
  </si>
  <si>
    <t>【標準指示】拠点－稼動</t>
    <phoneticPr fontId="8"/>
  </si>
  <si>
    <t>SOI_LOCATION_OPERATE_RESTRICTION</t>
    <phoneticPr fontId="8"/>
  </si>
  <si>
    <t>【標準指示】拠点－稼動－アクセス制限</t>
    <phoneticPr fontId="8"/>
  </si>
  <si>
    <t>SOI_OPERATE_OPERATION_PLAN</t>
    <phoneticPr fontId="8"/>
  </si>
  <si>
    <t>【標準指示】稼動－稼動実績計画</t>
    <phoneticPr fontId="8"/>
  </si>
  <si>
    <t>SOI_OPERATE_OPERATION_PLAN_RESTRICTION</t>
    <phoneticPr fontId="8"/>
  </si>
  <si>
    <t>【標準指示】拠点－稼動実績計画－アクセス制限</t>
    <phoneticPr fontId="8"/>
  </si>
  <si>
    <t>SOI_OPERATE_OPERATION_BASIC</t>
    <phoneticPr fontId="8"/>
  </si>
  <si>
    <t>【標準指示】稼動－稼動実績基本</t>
    <phoneticPr fontId="8"/>
  </si>
  <si>
    <t>SOI_OPERATE_OPERATION_BASIC_RESTRICTION</t>
    <phoneticPr fontId="8"/>
  </si>
  <si>
    <t>【標準指示】拠点－稼動実績基本－アクセス制限</t>
    <phoneticPr fontId="8"/>
  </si>
  <si>
    <t>SOI_OPERATE_OPERATION_BASIC_PARAMETER</t>
    <phoneticPr fontId="8"/>
  </si>
  <si>
    <t>【標準指示】稼動－稼動実績基本－稼動パラメータ</t>
    <phoneticPr fontId="8"/>
  </si>
  <si>
    <t>SOI_OPERATE_OPERATION_BASIC_PARAMETER_RESTRICTION</t>
    <phoneticPr fontId="8"/>
  </si>
  <si>
    <t>【標準指示】拠点－稼動実績基本－稼動パラメータ－アクセス制限</t>
    <phoneticPr fontId="8"/>
  </si>
  <si>
    <t>SOI_OPERATE_OPERATION_BASIC_PARAMETER_STANDARD_VALUE</t>
    <phoneticPr fontId="8"/>
  </si>
  <si>
    <t>【標準指示】稼動－稼動実績基本－稼動パラメータ－標準値</t>
    <phoneticPr fontId="8"/>
  </si>
  <si>
    <t>SOI_OPERATE_OPERATION_BASIC_HISTORY_RESTRICTION</t>
    <phoneticPr fontId="8"/>
  </si>
  <si>
    <t>【標準指示】拠点－稼動実績基本－稼動ステータス履歴－アクセス制</t>
    <phoneticPr fontId="8"/>
  </si>
  <si>
    <t>SOI_OPERATE_OPERATION_BASIC_HISTORY_CYCLE_TIME</t>
    <phoneticPr fontId="8"/>
  </si>
  <si>
    <t>【標準指示】稼動－稼動実績基本－稼動ステータス履歴－サイクル1</t>
    <phoneticPr fontId="8"/>
  </si>
  <si>
    <t>SOI_OPERATE_OPERATION_BASIC_HISTORY_CYCLE_TIME_STANDARD_VALUE</t>
    <phoneticPr fontId="8"/>
  </si>
  <si>
    <t>【標準指示】稼動－稼動実績基本－稼動ステータス履歴－サイクル2</t>
    <phoneticPr fontId="8"/>
  </si>
  <si>
    <t>SOI_OPERATE_OPERATION_CAPACITY</t>
    <phoneticPr fontId="8"/>
  </si>
  <si>
    <t>【標準指示】稼動－稼動実績能力</t>
    <phoneticPr fontId="8"/>
  </si>
  <si>
    <t>SOI_OPERATE_OPERATION_CAPACITY_RESTRICTION</t>
    <phoneticPr fontId="8"/>
  </si>
  <si>
    <t>【標準指示】稼動－稼動実績能力－アクセス制限</t>
    <phoneticPr fontId="8"/>
  </si>
  <si>
    <t>SOI_OPERATE_OPERATION_CAPACITY_ITEM</t>
    <phoneticPr fontId="8"/>
  </si>
  <si>
    <t>【標準指示】稼動－稼動実績能力－項目</t>
    <phoneticPr fontId="8"/>
  </si>
  <si>
    <t>SOI_OPERATE_OPERATION_CAPACITY_ITEM_RESTRICTION</t>
    <phoneticPr fontId="8"/>
  </si>
  <si>
    <t>【標準指示】稼動－稼動実績能力－項目－アクセス制限</t>
    <phoneticPr fontId="8"/>
  </si>
  <si>
    <t>SOI_OPERATE_OPERATION_INSPECTION</t>
    <phoneticPr fontId="8"/>
  </si>
  <si>
    <t>【標準指示】稼動－稼動実績点検</t>
    <phoneticPr fontId="8"/>
  </si>
  <si>
    <t>SOI_OPERATE_OPERATION_INSPECTION_RESTRICTION</t>
    <phoneticPr fontId="8"/>
  </si>
  <si>
    <t>【標準指示】稼動－稼動実績点検－アクセス制限</t>
    <phoneticPr fontId="8"/>
  </si>
  <si>
    <t>SOI_OPERATE_OPERATION_INSPECTION_ITEM</t>
    <phoneticPr fontId="8"/>
  </si>
  <si>
    <t>【標準指示】稼動－稼動実績点検－項目</t>
    <phoneticPr fontId="8"/>
  </si>
  <si>
    <t>SOI_OPERATE_OPERATION_INSPECTION_ITEM_RESTRICTION</t>
    <phoneticPr fontId="8"/>
  </si>
  <si>
    <t>【標準指示】稼動－稼動実績点検－項目－アクセス制限</t>
    <phoneticPr fontId="8"/>
  </si>
  <si>
    <t>SOI_OPERATE_OPERATION_REPLACEMENT</t>
    <phoneticPr fontId="8"/>
  </si>
  <si>
    <t>【標準指示】稼動－稼動実績交換</t>
    <phoneticPr fontId="8"/>
  </si>
  <si>
    <t>SOI_OPERATE_OPERATION_REPLACEMENT_RESTRICTION</t>
    <phoneticPr fontId="8"/>
  </si>
  <si>
    <t>【標準指示】稼動－稼動実績交換－アクセス制限</t>
    <phoneticPr fontId="8"/>
  </si>
  <si>
    <t>SOI_OPERATE_OPERATION_REPLACEMENT_ITEM</t>
    <phoneticPr fontId="8"/>
  </si>
  <si>
    <t>【標準指示】稼動－稼動実績交換－項目</t>
    <phoneticPr fontId="8"/>
  </si>
  <si>
    <t>SOI_OPERATE_OPERATION_REPLACEMENT_ITEM_RESTRICTION</t>
    <phoneticPr fontId="8"/>
  </si>
  <si>
    <t>【標準指示】稼動－稼動実績交換－項目－アクセス制限</t>
    <phoneticPr fontId="8"/>
  </si>
  <si>
    <t>SOI_OPERATE_OPERATION_REPLACEMENT_ITEM_CONFIRMATION</t>
    <phoneticPr fontId="8"/>
  </si>
  <si>
    <t>【標準指示】稼動－稼動実績交換－項目－交換確認</t>
    <phoneticPr fontId="8"/>
  </si>
  <si>
    <t>SOI_OPERATE_OPERATION_REPLACEMENT_ITEM_CONFIRMATION_RESTRICTION</t>
    <phoneticPr fontId="8"/>
  </si>
  <si>
    <t>【標準指示】稼動－稼動実績交換－項目－交換確認－アクセス制限</t>
    <phoneticPr fontId="8"/>
  </si>
  <si>
    <t>SOI_OPERATE_OPERATION_REPLACEMENT_ITEM_CONFIRMATION_ITEM</t>
    <phoneticPr fontId="8"/>
  </si>
  <si>
    <t>【標準指示】稼動－稼動実績交換－項目－交換確認－項目</t>
    <phoneticPr fontId="8"/>
  </si>
  <si>
    <t>SOI_OPERATE_OPERATION_REPLACEMENT_ITEM_CONFIRMATION_ITEM_RESTRICTION</t>
    <phoneticPr fontId="8"/>
  </si>
  <si>
    <t>【標準指示】稼動－稼動実績交換－項目－交換確認－項目－アクセス</t>
    <phoneticPr fontId="8"/>
  </si>
  <si>
    <t>SOI_OPERATE_OPERATION_REPLACEMENT_ITEM_CONFIRMATION_ITEM_STANDARD_VALUE</t>
    <phoneticPr fontId="8"/>
  </si>
  <si>
    <t>【標準指示】稼動－稼動実績交換－項目－交換確認－項目－標準値</t>
    <phoneticPr fontId="8"/>
  </si>
  <si>
    <t>SOI_OPERATE_OPERATION_REPLACEMENT_ITEM_CONFIRMATION_ITEM_CONDITION</t>
    <phoneticPr fontId="8"/>
  </si>
  <si>
    <t>【標準指示】稼動－稼動実績交換－項目－交換確認－項目－条件</t>
    <phoneticPr fontId="8"/>
  </si>
  <si>
    <t>SOI_OPERATE_OPERATION_REPLACEMENT_ITEM_CONFIRMATION_ITEM_CONDITION_RESTRICTION</t>
    <phoneticPr fontId="8"/>
  </si>
  <si>
    <t>【標準指示】稼動－稼動実績交換－項目－交換確認－項目－条件－ア</t>
    <phoneticPr fontId="8"/>
  </si>
  <si>
    <t>SOI_OPERATE_OPERATION_REPLACEMENT_ITEM_CONFIRMATION_ITEM_CONDITION_STANDARD_VALUE</t>
    <phoneticPr fontId="8"/>
  </si>
  <si>
    <t>【標準指示】稼動－稼動実績交換－項目－交換確認－項目－条件－標</t>
    <phoneticPr fontId="8"/>
  </si>
  <si>
    <t>SOI_OPERATE_ACCURACY_INSPECTION</t>
    <phoneticPr fontId="8"/>
  </si>
  <si>
    <t>【標準指示】稼動－精度検査</t>
    <phoneticPr fontId="8"/>
  </si>
  <si>
    <t>SOI_OPERATE_ACCURACY_INSPECTION_RESTRICTION</t>
    <phoneticPr fontId="8"/>
  </si>
  <si>
    <t>【標準指示】稼動－精度検査－アクセス制限</t>
    <phoneticPr fontId="8"/>
  </si>
  <si>
    <t>SOI_OPERATE_ACCURACY_INSPECTION_ITEM</t>
    <phoneticPr fontId="8"/>
  </si>
  <si>
    <t>【標準指示】稼動－精度検査－項目</t>
    <phoneticPr fontId="8"/>
  </si>
  <si>
    <t>SOI_OPERATE_ACCURACY_INSPECTION_ITEM_RESTRICTION</t>
    <phoneticPr fontId="8"/>
  </si>
  <si>
    <t>【標準指示】稼動－精度検査－項目－アクセス制限</t>
    <phoneticPr fontId="8"/>
  </si>
  <si>
    <t>SOI_OPERATE_INTERVAL_INSPECTION</t>
    <phoneticPr fontId="8"/>
  </si>
  <si>
    <t>【標準指示】稼動－インターバル検査</t>
    <phoneticPr fontId="8"/>
  </si>
  <si>
    <t>SOI_OPERATE_INTERVAL_INSPECTION_RESTRICTION</t>
    <phoneticPr fontId="8"/>
  </si>
  <si>
    <t>【標準指示】稼動－インターバル検査－アクセス制限</t>
    <phoneticPr fontId="8"/>
  </si>
  <si>
    <t>SOI_OPERATE_INTERVAL_INSPECTION_ITEM</t>
    <phoneticPr fontId="8"/>
  </si>
  <si>
    <t>【標準指示】稼動－インターバル検査－項目</t>
    <phoneticPr fontId="8"/>
  </si>
  <si>
    <t>SOI_OPERATE_INTERVAL_INSPECTION_ITEM_RESTRICTION</t>
    <phoneticPr fontId="8"/>
  </si>
  <si>
    <t>【標準指示】稼動－インターバル検査－項目－アクセス制限</t>
    <phoneticPr fontId="8"/>
  </si>
  <si>
    <t>SOI_OPERATE_INTERVAL_INSPECTION_ITEM_STANDARD_VALUE</t>
    <phoneticPr fontId="8"/>
  </si>
  <si>
    <t>【標準指示】稼動－インターバル検査－項目－標準値</t>
    <phoneticPr fontId="8"/>
  </si>
  <si>
    <t>SOI_OPERATE_INTERVAL_INSPECTION_ITEM_CONDITION</t>
    <phoneticPr fontId="8"/>
  </si>
  <si>
    <t>【標準指示】稼動－インターバル検査－項目－条件</t>
    <phoneticPr fontId="8"/>
  </si>
  <si>
    <t>SOI_OPERATE_INTERVAL_INSPECTION_ITEM_CONDITION_RESTRICTION</t>
    <phoneticPr fontId="8"/>
  </si>
  <si>
    <t>【標準指示】稼動－インターバル検査－項目－条件－アクセス制限</t>
    <phoneticPr fontId="8"/>
  </si>
  <si>
    <t>SOI_OPERATE_INTERVAL_INSPECTION_ITEM_CONDITION_STANDARD_VALUE</t>
    <phoneticPr fontId="8"/>
  </si>
  <si>
    <t>【標準指示】稼動－インターバル検査－項目－条件－標準値</t>
    <phoneticPr fontId="8"/>
  </si>
  <si>
    <t>SOI_OPERATE_PRODUCT_CODE</t>
    <phoneticPr fontId="8"/>
  </si>
  <si>
    <t>【標準指示】稼動－品種識別名</t>
    <phoneticPr fontId="8"/>
  </si>
  <si>
    <t>SOI_OPERATE_PRODUCTION_BASIC_PARAMETER_CODE</t>
    <phoneticPr fontId="8"/>
  </si>
  <si>
    <t>【標準指示】稼動－生産実績基本－生産パラメータ識別名</t>
    <phoneticPr fontId="8"/>
  </si>
  <si>
    <t>SOI_OPERATE_SETUP_ITEM_CODE</t>
    <phoneticPr fontId="8"/>
  </si>
  <si>
    <t>【標準指示】稼動－生産実績段取－項目識別名</t>
    <phoneticPr fontId="8"/>
  </si>
  <si>
    <t>SOI_OPERATE_PRODUCTION_BASIC_PROCESS_PARAMETER_CODE</t>
    <phoneticPr fontId="8"/>
  </si>
  <si>
    <t>【標準指示】稼動－生産実績基本工程別－生産パラメータ識別名</t>
    <phoneticPr fontId="8"/>
  </si>
  <si>
    <t>SOI_OPERATE_PRODUCTION_BASIC_PROCESS_HISTORY_OCCURRENCE_BREAKDOWN_CODE</t>
    <phoneticPr fontId="8"/>
  </si>
  <si>
    <t>【標準指示】稼動－生産実績基本工程別－工程履歴－発生内訳識別名</t>
    <phoneticPr fontId="8"/>
  </si>
  <si>
    <t>SOI_OPERATE_PRODUCTION_COMPONENTS_ITEM_CODE</t>
    <phoneticPr fontId="8"/>
  </si>
  <si>
    <t>【標準指示】稼動－生産実績構成－項目識別名</t>
    <phoneticPr fontId="8"/>
  </si>
  <si>
    <t>SOI_OPERATE_PRODUCTION_WORK_ITEM_CODE</t>
    <phoneticPr fontId="8"/>
  </si>
  <si>
    <t>【標準指示】稼動－生産実績作業－項目識別名</t>
    <phoneticPr fontId="8"/>
  </si>
  <si>
    <t>SOI_OPERATE_PRODUCTION_INSPECTION_ITEM_CODE</t>
    <phoneticPr fontId="8"/>
  </si>
  <si>
    <t>【標準指示】稼動－生産実績検査－項目識別名</t>
    <phoneticPr fontId="8"/>
  </si>
  <si>
    <t>SOI_OPERATE_PRODUCTION_INSPECTION_SELECT_LIST_CODE</t>
    <phoneticPr fontId="8"/>
  </si>
  <si>
    <t>【標準指示】稼動－生産実績検査－選択肢識別名</t>
    <phoneticPr fontId="8"/>
  </si>
  <si>
    <t>SOI_OPERATE_PRODUCTION_INSPECTION_CONDITION_CODE</t>
    <phoneticPr fontId="8"/>
  </si>
  <si>
    <t>【標準指示】稼動－生産実績検査－条件識別名</t>
    <phoneticPr fontId="8"/>
  </si>
  <si>
    <t>SOI_OPERATE_PRODUCTION_MEASUREMENT_ITEM_CODE</t>
    <phoneticPr fontId="8"/>
  </si>
  <si>
    <t>【標準指示】稼動－生産実績測定－項目識別名</t>
    <phoneticPr fontId="8"/>
  </si>
  <si>
    <t>SOI_OPERATE_PRODUCTION_MEASUREMENT_CONDITION_CODE</t>
    <phoneticPr fontId="8"/>
  </si>
  <si>
    <t>【標準指示】稼動－生産実績測定－条件識別名</t>
    <phoneticPr fontId="8"/>
  </si>
  <si>
    <t>SOI_OPERATE_QUALITY_ANOMALY_SET</t>
    <phoneticPr fontId="8"/>
  </si>
  <si>
    <t>【標準指示】稼動－品質異常セット</t>
    <phoneticPr fontId="8"/>
  </si>
  <si>
    <t>SOI_OPERATE_PRODUCTION_ANOMALY_SET</t>
    <phoneticPr fontId="8"/>
  </si>
  <si>
    <t>【標準指示】稼動－生産異常セット</t>
    <phoneticPr fontId="8"/>
  </si>
  <si>
    <t>SOI_OPERATE_OPERATION_ANOMALY_SET</t>
    <phoneticPr fontId="8"/>
  </si>
  <si>
    <t>【標準指示】稼動－稼動異常セット</t>
    <phoneticPr fontId="8"/>
  </si>
  <si>
    <t>OPERATE_MASTER</t>
    <phoneticPr fontId="8"/>
  </si>
  <si>
    <t>稼動マスタ</t>
    <phoneticPr fontId="8"/>
  </si>
  <si>
    <t>OPERATE_MASTER_RESTRICTION</t>
    <phoneticPr fontId="8"/>
  </si>
  <si>
    <t>稼動マスタ－アクセス制限</t>
    <phoneticPr fontId="8"/>
  </si>
  <si>
    <t>OPERATE_MASTER_ATTACHEDINFO</t>
    <phoneticPr fontId="8"/>
  </si>
  <si>
    <t>稼動マスタ－付属情報</t>
    <phoneticPr fontId="8"/>
  </si>
  <si>
    <t>OPERATION_PLAN_MASTER</t>
    <phoneticPr fontId="8"/>
  </si>
  <si>
    <t>稼動実績計画マスタ</t>
    <phoneticPr fontId="8"/>
  </si>
  <si>
    <t>OPERATION_PLAN_MASTER_RESTRICTION</t>
    <phoneticPr fontId="8"/>
  </si>
  <si>
    <t>稼動実績計画マスタ－アクセス制限</t>
    <phoneticPr fontId="8"/>
  </si>
  <si>
    <t>OPERATION_BASIC_MASTER</t>
    <phoneticPr fontId="8"/>
  </si>
  <si>
    <t>稼動実績基本マスタ</t>
    <phoneticPr fontId="8"/>
  </si>
  <si>
    <t>OPERATION_BASIC_MASTER_RESTRICTION</t>
    <phoneticPr fontId="8"/>
  </si>
  <si>
    <t>稼動実績基本マスタ－アクセス制限</t>
    <phoneticPr fontId="8"/>
  </si>
  <si>
    <t>OPERATION_BASIC_MASTER_PARAMETER</t>
    <phoneticPr fontId="8"/>
  </si>
  <si>
    <t>稼動実績基本マスタ－稼動パラメータ</t>
    <phoneticPr fontId="8"/>
  </si>
  <si>
    <t>OPERATION_BASIC_MASTER_PARAMETER_RESTRICTION</t>
    <phoneticPr fontId="8"/>
  </si>
  <si>
    <t>稼動実績基本マスタ－稼動パラメータ－アクセス制限</t>
    <phoneticPr fontId="8"/>
  </si>
  <si>
    <t>OPERATION_BASIC_MASTER_PARAMETER_STANDARD_VALUE</t>
    <phoneticPr fontId="8"/>
  </si>
  <si>
    <t>稼動実績基本マスタ－稼動パラメータ－標準値</t>
    <phoneticPr fontId="8"/>
  </si>
  <si>
    <t>OPERATION_BASIC_MASTER_HISTORY_RESTRICTION</t>
    <phoneticPr fontId="8"/>
  </si>
  <si>
    <t>稼動実績基本マスタ－稼動ステータス履歴－アクセス制限</t>
    <phoneticPr fontId="8"/>
  </si>
  <si>
    <t>OPERATION_BASIC_MASTER_HISTORY_CYCLE_TIME</t>
    <phoneticPr fontId="8"/>
  </si>
  <si>
    <t>稼動実績基本マスタ－稼動ステータス履歴－サイクルタイム</t>
    <phoneticPr fontId="8"/>
  </si>
  <si>
    <t>OPERATION_BASIC_MASTER_HISTORY_CYCLE_TIME_STANDARD_VALUE</t>
    <phoneticPr fontId="8"/>
  </si>
  <si>
    <t>稼動実績基本マスタ－稼動ステータス履歴－サイクルタイム－標準値</t>
    <phoneticPr fontId="8"/>
  </si>
  <si>
    <t>OPERATION_CAPACITY_MASTER</t>
    <phoneticPr fontId="8"/>
  </si>
  <si>
    <t>稼動実績能力マスタ</t>
    <phoneticPr fontId="8"/>
  </si>
  <si>
    <t>OPERATION_CAPACITY_MASTER_RESTRICTION</t>
    <phoneticPr fontId="8"/>
  </si>
  <si>
    <t>稼動実績能力マスタ－アクセス制限</t>
    <phoneticPr fontId="8"/>
  </si>
  <si>
    <t>OPERATION_CAPACITY_MASTER_ITEM</t>
    <phoneticPr fontId="8"/>
  </si>
  <si>
    <t>稼動実績能力マスタ－項目</t>
    <phoneticPr fontId="8"/>
  </si>
  <si>
    <t>OPERATION_CAPACITY_MASTER_ITEM_RESTRICTION</t>
    <phoneticPr fontId="8"/>
  </si>
  <si>
    <t>稼動実績能力マスタ－項目－アクセス制限</t>
    <phoneticPr fontId="8"/>
  </si>
  <si>
    <t>OPERATION_INSPECTION_MASTER</t>
    <phoneticPr fontId="8"/>
  </si>
  <si>
    <t>稼動実績点検マスタ</t>
    <phoneticPr fontId="8"/>
  </si>
  <si>
    <t>OPERATION_INSPECTION_MASTER_RESTRICTION</t>
    <phoneticPr fontId="8"/>
  </si>
  <si>
    <t>稼動実績点検マスタ－アクセス制限</t>
    <phoneticPr fontId="8"/>
  </si>
  <si>
    <t>OPERATION_INSPECTION_MASTER_ITEM</t>
    <phoneticPr fontId="8"/>
  </si>
  <si>
    <t>稼動実績点検マスタ－項目</t>
    <phoneticPr fontId="8"/>
  </si>
  <si>
    <t>OPERATION_INSPECTION_MASTER_ITEM_RESTRICTION</t>
    <phoneticPr fontId="8"/>
  </si>
  <si>
    <t>稼動実績点検マスタ－項目－アクセス制限</t>
    <phoneticPr fontId="8"/>
  </si>
  <si>
    <t>OPERATION_REPLACEMENT_MASTER</t>
    <phoneticPr fontId="8"/>
  </si>
  <si>
    <t>稼動実績交換マスタ</t>
    <phoneticPr fontId="8"/>
  </si>
  <si>
    <t>OPERATION_REPLACEMENT_MASTER_RESTRICTION</t>
    <phoneticPr fontId="8"/>
  </si>
  <si>
    <t>稼動実績交換マスタ－アクセス制限</t>
    <phoneticPr fontId="8"/>
  </si>
  <si>
    <t>OPERATION_REPLACEMENT_MASTER_ITEM</t>
    <phoneticPr fontId="8"/>
  </si>
  <si>
    <t>稼動実績交換マスタ－項目</t>
    <phoneticPr fontId="8"/>
  </si>
  <si>
    <t>OPERATION_REPLACEMENT_MASTER_ITEM_RESTRICTION</t>
    <phoneticPr fontId="8"/>
  </si>
  <si>
    <t>稼動実績交換マスタ－項目－アクセス制限</t>
    <phoneticPr fontId="8"/>
  </si>
  <si>
    <t>SOI_CATEGORY_QUALITY_ANOMALY</t>
    <phoneticPr fontId="8"/>
  </si>
  <si>
    <t>【標準指示】カテゴリ－品質異常</t>
    <phoneticPr fontId="8"/>
  </si>
  <si>
    <t>SOI_CATEGORY_QUALITY_ANOMALY_RESTRICTION</t>
    <phoneticPr fontId="8"/>
  </si>
  <si>
    <t>【標準指示】カテゴリ－品質異常－アクセス制限</t>
    <phoneticPr fontId="8"/>
  </si>
  <si>
    <t>SOI_CATEGORY_QUALITY_ANOMALY_ANOMALY_RESTRICTION</t>
    <phoneticPr fontId="8"/>
  </si>
  <si>
    <t>【標準指示】カテゴリ－品質異常－異常－アクセス制限</t>
    <phoneticPr fontId="8"/>
  </si>
  <si>
    <t>SOI_CATEGORY_QUALITY_ANOMALY_TREAT_RESTRICTION</t>
    <phoneticPr fontId="8"/>
  </si>
  <si>
    <t>【標準指示】カテゴリ－品質異常－処置－アクセス制限</t>
    <phoneticPr fontId="8"/>
  </si>
  <si>
    <t>SOI_CATEGORY_QUALITY_ANOMALY_OCCURRENCE_CAUSE_RESTRICTION</t>
    <phoneticPr fontId="8"/>
  </si>
  <si>
    <t>【標準指示】カテゴリ－品質異常－発生原因－アクセス制限</t>
    <phoneticPr fontId="8"/>
  </si>
  <si>
    <t>SOI_CATEGORY_QUALITY_ANOMALY_OCCURRENCE_MEASURE_RESTRICTION</t>
    <phoneticPr fontId="8"/>
  </si>
  <si>
    <t>【標準指示】カテゴリ－品質異常－発生対策－アクセス制限</t>
    <phoneticPr fontId="8"/>
  </si>
  <si>
    <t>SOI_CATEGORY_QUALITY_ANOMALY_SPILL_CAUSE_RESTRICTION</t>
    <phoneticPr fontId="8"/>
  </si>
  <si>
    <t>【標準指示】カテゴリ－品質異常－流出原因－アクセス制限</t>
    <phoneticPr fontId="8"/>
  </si>
  <si>
    <t>SOI_CATEGORY_QUALITY_ANOMALY_SPILL_MEASURE_RESTRICTION</t>
    <phoneticPr fontId="8"/>
  </si>
  <si>
    <t>【標準指示】カテゴリ－品質異常－流出対策－アクセス制限</t>
    <phoneticPr fontId="8"/>
  </si>
  <si>
    <t>SOI_CATEGORY_QUALITY_ANOMALY_CONFIRM_RESTRICTION</t>
    <phoneticPr fontId="8"/>
  </si>
  <si>
    <t>【標準指示】カテゴリ－品質異常－効果確認－アクセス制限</t>
    <phoneticPr fontId="8"/>
  </si>
  <si>
    <t>SOI_CATEGORY_PRODUCTION_ANOMALY</t>
    <phoneticPr fontId="8"/>
  </si>
  <si>
    <t>【標準指示】カテゴリ－生産異常</t>
    <phoneticPr fontId="8"/>
  </si>
  <si>
    <t>SOI_CATEGORY_PRODUCTION_ANOMALY_RESTRICTION</t>
    <phoneticPr fontId="8"/>
  </si>
  <si>
    <t>【標準指示】カテゴリ－生産異常－アクセス制限</t>
    <phoneticPr fontId="8"/>
  </si>
  <si>
    <t>SOI_CATEGORY_PRODUCTION_ANOMALY_ANOMALY_RESTRICTION</t>
    <phoneticPr fontId="8"/>
  </si>
  <si>
    <t>【標準指示】カテゴリ－生産異常－異常－アクセス制限</t>
    <phoneticPr fontId="8"/>
  </si>
  <si>
    <t>SOI_CATEGORY_PRODUCTION_ANOMALY_TREAT_RESTRICTION</t>
    <phoneticPr fontId="8"/>
  </si>
  <si>
    <t>【標準指示】カテゴリ－生産異常－処置－アクセス制限</t>
    <phoneticPr fontId="8"/>
  </si>
  <si>
    <t>SOI_CATEGORY_PRODUCTION_ANOMALY_OCCURRENCE_CAUSE_RESTRICTION</t>
    <phoneticPr fontId="8"/>
  </si>
  <si>
    <t>【標準指示】カテゴリ－生産異常－発生原因－アクセス制限</t>
    <phoneticPr fontId="8"/>
  </si>
  <si>
    <t>SOI_CATEGORY_PRODUCTION_ANOMALY_OCCURRENCE_MEASURE_RESTRICTION</t>
    <phoneticPr fontId="8"/>
  </si>
  <si>
    <t>【標準指示】カテゴリ－生産異常－発生対策－アクセス制限</t>
    <phoneticPr fontId="8"/>
  </si>
  <si>
    <t>SOI_CATEGORY_PRODUCTION_ANOMALY_SPILL_CAUSE_RESTRICTION</t>
    <phoneticPr fontId="8"/>
  </si>
  <si>
    <t>【標準指示】カテゴリ－生産異常－流出原因－アクセス制限</t>
    <phoneticPr fontId="8"/>
  </si>
  <si>
    <t>SOI_CATEGORY_PRODUCTION_ANOMALY_SPILL_MEASURE_RESTRICTION</t>
    <phoneticPr fontId="8"/>
  </si>
  <si>
    <t>【標準指示】カテゴリ－生産異常－流出対策－アクセス制限</t>
    <phoneticPr fontId="8"/>
  </si>
  <si>
    <t>SOI_CATEGORY_PRODUCTION_ANOMALY_CONFIRM_RESTRICTION</t>
    <phoneticPr fontId="8"/>
  </si>
  <si>
    <t>【標準指示】カテゴリ－生産異常－効果確認－アクセス制限</t>
    <phoneticPr fontId="8"/>
  </si>
  <si>
    <t>SOI_CATEGORY_OPERATION_ANOMALY</t>
    <phoneticPr fontId="8"/>
  </si>
  <si>
    <t>【標準指示】カテゴリ－稼動異常</t>
    <phoneticPr fontId="8"/>
  </si>
  <si>
    <t>SOI_CATEGORY_OPERATION_ANOMALY_RESTRICTION</t>
    <phoneticPr fontId="8"/>
  </si>
  <si>
    <t>【標準指示】カテゴリ－稼動異常－アクセス制限</t>
    <phoneticPr fontId="8"/>
  </si>
  <si>
    <t>SOI_CATEGORY_OPERATION_ANOMALY_ANOMALY_RESTRICTION</t>
    <phoneticPr fontId="8"/>
  </si>
  <si>
    <t>【標準指示】カテゴリ－稼動異常－異常－アクセス制限</t>
    <phoneticPr fontId="8"/>
  </si>
  <si>
    <t>SOI_CATEGORY_OPERATION_ANOMALY_TREAT_RESTRICTION</t>
    <phoneticPr fontId="8"/>
  </si>
  <si>
    <t>【標準指示】カテゴリ－稼動異常－処置－アクセス制限</t>
    <phoneticPr fontId="8"/>
  </si>
  <si>
    <t>SOI_CATEGORY_OPERATION_ANOMALY_OCCURRENCE_CAUSE_RESTRICTION</t>
    <phoneticPr fontId="8"/>
  </si>
  <si>
    <t>【標準指示】カテゴリ－稼動異常－発生原因－アクセス制限</t>
    <phoneticPr fontId="8"/>
  </si>
  <si>
    <t>SOI_CATEGORY_OPERATION_ANOMALY_OCCURRENCE_MEASURE_RESTRICTION</t>
    <phoneticPr fontId="8"/>
  </si>
  <si>
    <t>【標準指示】カテゴリ－稼動異常－発生対策－アクセス制限</t>
    <phoneticPr fontId="8"/>
  </si>
  <si>
    <t>SOI_CATEGORY_OPERATION_ANOMALY_SPILL_CAUSE_RESTRICTION</t>
    <phoneticPr fontId="8"/>
  </si>
  <si>
    <t>【標準指示】カテゴリ－稼動異常－流出原因－アクセス制限</t>
    <phoneticPr fontId="8"/>
  </si>
  <si>
    <t>SOI_CATEGORY_OPERATION_ANOMALY_SPILL_MEASURE_RESTRICTION</t>
    <phoneticPr fontId="8"/>
  </si>
  <si>
    <t>【標準指示】カテゴリ－稼動異常－流出対策－アクセス制限</t>
    <phoneticPr fontId="8"/>
  </si>
  <si>
    <t>SOI_CATEGORY_OPERATION_ANOMALY_CONFIRM_RESTRICTION</t>
    <phoneticPr fontId="8"/>
  </si>
  <si>
    <t>【標準指示】カテゴリ－稼動異常－効果確認－アクセス制限</t>
    <phoneticPr fontId="8"/>
  </si>
  <si>
    <t>SOI_LOCATION_QUALITY_ANOMALY</t>
    <phoneticPr fontId="8"/>
  </si>
  <si>
    <t>【標準指示】拠点－品質異常</t>
    <phoneticPr fontId="8"/>
  </si>
  <si>
    <t>SOI_LOCATION_QUALITY_ANOMALY_RESTRICTION</t>
    <phoneticPr fontId="8"/>
  </si>
  <si>
    <t>【標準指示】拠点－品質異常－アクセス制限</t>
    <phoneticPr fontId="8"/>
  </si>
  <si>
    <t>SOI_LOCATION_QUALITY_ANOMALY_ANOMALY_RESTRICTION</t>
    <phoneticPr fontId="8"/>
  </si>
  <si>
    <t>【標準指示】拠点－品質異常－異常－アクセス制限</t>
    <phoneticPr fontId="8"/>
  </si>
  <si>
    <t>SOI_LOCATION_QUALITY_ANOMALY_TREAT_RESTRICTION</t>
    <phoneticPr fontId="8"/>
  </si>
  <si>
    <t>【標準指示】拠点－品質異常－処置－アクセス制限</t>
    <phoneticPr fontId="8"/>
  </si>
  <si>
    <t>SOI_LOCATION_QUALITY_ANOMALY_OCCURRENCE_CAUSE_RESTRICTION</t>
    <phoneticPr fontId="8"/>
  </si>
  <si>
    <t>【標準指示】拠点－品質異常－発生原因－アクセス制限</t>
    <phoneticPr fontId="8"/>
  </si>
  <si>
    <t>SOI_LOCATION_QUALITY_ANOMALY_OCCURRENCE_MEASURE_RESTRICTION</t>
    <phoneticPr fontId="8"/>
  </si>
  <si>
    <t>【標準指示】拠点－品質異常－発生対策－アクセス制限</t>
    <phoneticPr fontId="8"/>
  </si>
  <si>
    <t>SOI_LOCATION_QUALITY_ANOMALY_SPILL_CAUSE_RESTRICTION</t>
    <phoneticPr fontId="8"/>
  </si>
  <si>
    <t>【標準指示】拠点－品質異常－流出原因－アクセス制限</t>
    <phoneticPr fontId="8"/>
  </si>
  <si>
    <t>SOI_LOCATION_QUALITY_ANOMALY_SPILL_MEASURE_RESTRICTION</t>
    <phoneticPr fontId="8"/>
  </si>
  <si>
    <t>【標準指示】拠点－品質異常－流出対策－アクセス制限</t>
    <phoneticPr fontId="8"/>
  </si>
  <si>
    <t>SOI_LOCATION_QUALITY_ANOMALY_CONFIRM_RESTRICTION</t>
    <phoneticPr fontId="8"/>
  </si>
  <si>
    <t>【標準指示】拠点－品質異常－効果確認－アクセス制限</t>
    <phoneticPr fontId="8"/>
  </si>
  <si>
    <t>SOI_LOCATION_PRODUCTION_ANOMALY</t>
    <phoneticPr fontId="8"/>
  </si>
  <si>
    <t>【標準指示】拠点－生産異常</t>
    <phoneticPr fontId="8"/>
  </si>
  <si>
    <t>SOI_LOCATION_PRODUCTION_ANOMALY_RESTRICTION</t>
    <phoneticPr fontId="8"/>
  </si>
  <si>
    <t>【標準指示】拠点－生産異常－アクセス制限</t>
    <phoneticPr fontId="8"/>
  </si>
  <si>
    <t>SOI_LOCATION_PRODUCTION_ANOMALY_ANOMALY_RESTRICTION</t>
    <phoneticPr fontId="8"/>
  </si>
  <si>
    <t>【標準指示】拠点－生産異常－異常－アクセス制限</t>
    <phoneticPr fontId="8"/>
  </si>
  <si>
    <t>SOI_LOCATION_PRODUCTION_ANOMALY_TREAT_RESTRICTION</t>
    <phoneticPr fontId="8"/>
  </si>
  <si>
    <t>【標準指示】拠点－生産異常－処置－アクセス制限</t>
    <phoneticPr fontId="8"/>
  </si>
  <si>
    <t>SOI_LOCATION_PRODUCTION_ANOMALY_OCCURRENCE_CAUSE_RESTRICTION</t>
    <phoneticPr fontId="8"/>
  </si>
  <si>
    <t>【標準指示】拠点－生産異常－発生原因－アクセス制限</t>
    <phoneticPr fontId="8"/>
  </si>
  <si>
    <t>SOI_LOCATION_PRODUCTION_ANOMALY_OCCURRENCE_MEASURE_RESTRICTION</t>
    <phoneticPr fontId="8"/>
  </si>
  <si>
    <t>【標準指示】拠点－生産異常－発生対策－アクセス制限</t>
    <phoneticPr fontId="8"/>
  </si>
  <si>
    <t>SOI_LOCATION_PRODUCTION_ANOMALY_SPILL_CAUSE_RESTRICTION</t>
    <phoneticPr fontId="8"/>
  </si>
  <si>
    <t>【標準指示】拠点－生産異常－流出原因－アクセス制限</t>
    <phoneticPr fontId="8"/>
  </si>
  <si>
    <t>SOI_LOCATION_PRODUCTION_ANOMALY_SPILL_MEASURE_RESTRICTION</t>
    <phoneticPr fontId="8"/>
  </si>
  <si>
    <t>【標準指示】拠点－生産異常－流出対策－アクセス制限</t>
    <phoneticPr fontId="8"/>
  </si>
  <si>
    <t>SOI_LOCATION_PRODUCTION_ANOMALY_CONFIRM_RESTRICTION</t>
    <phoneticPr fontId="8"/>
  </si>
  <si>
    <t>【標準指示】拠点－生産異常－効果確認－アクセス制限</t>
    <phoneticPr fontId="8"/>
  </si>
  <si>
    <t>SOI_LOCATION_OPERATION_ANOMALY</t>
    <phoneticPr fontId="8"/>
  </si>
  <si>
    <t>【標準指示】拠点－稼動異常</t>
    <phoneticPr fontId="8"/>
  </si>
  <si>
    <t>SOI_LOCATION_OPERATION_ANOMALY_RESTRICTION</t>
    <phoneticPr fontId="8"/>
  </si>
  <si>
    <t>【標準指示】拠点－稼動異常－アクセス制限</t>
    <phoneticPr fontId="8"/>
  </si>
  <si>
    <t>SOI_LOCATION_OPERATION_ANOMALY_ANOMALY_RESTRICTION</t>
    <phoneticPr fontId="8"/>
  </si>
  <si>
    <t>【標準指示】拠点－稼動異常－異常－アクセス制限</t>
    <phoneticPr fontId="8"/>
  </si>
  <si>
    <t>SOI_LOCATION_OPERATION_ANOMALY_TREAT_RESTRICTION</t>
    <phoneticPr fontId="8"/>
  </si>
  <si>
    <t>【標準指示】拠点－稼動異常－処置－アクセス制限</t>
    <phoneticPr fontId="8"/>
  </si>
  <si>
    <t>SOI_LOCATION_OPERATION_ANOMALY_OCCURRENCE_CAUSE_RESTRICTION</t>
    <phoneticPr fontId="8"/>
  </si>
  <si>
    <t>【標準指示】拠点－稼動異常－発生原因－アクセス制限</t>
    <phoneticPr fontId="8"/>
  </si>
  <si>
    <t>SOI_LOCATION_OPERATION_ANOMALY_OCCURRENCE_MEASURE_RESTRICTION</t>
    <phoneticPr fontId="8"/>
  </si>
  <si>
    <t>【標準指示】拠点－稼動異常－発生対策－アクセス制限</t>
    <phoneticPr fontId="8"/>
  </si>
  <si>
    <t>SOI_LOCATION_OPERATION_ANOMALY_SPILL_CAUSE_RESTRICTION</t>
    <phoneticPr fontId="8"/>
  </si>
  <si>
    <t>【標準指示】拠点－稼動異常－流出原因－アクセス制限</t>
    <phoneticPr fontId="8"/>
  </si>
  <si>
    <t>SOI_LOCATION_OPERATION_ANOMALY_SPILL_MEASURE_RESTRICTION</t>
    <phoneticPr fontId="8"/>
  </si>
  <si>
    <t>【標準指示】拠点－稼動異常－流出対策－アクセス制限</t>
    <phoneticPr fontId="8"/>
  </si>
  <si>
    <t>SOI_LOCATION_OPERATION_ANOMALY_CONFIRM_RESTRICTION</t>
    <phoneticPr fontId="8"/>
  </si>
  <si>
    <t>【標準指示】拠点－稼動異常－効果確認－アクセス制限</t>
    <phoneticPr fontId="8"/>
  </si>
  <si>
    <t>SOI_PRODUCT_QUALITY_ANOMALY</t>
    <phoneticPr fontId="8"/>
  </si>
  <si>
    <t>【標準指示】品種－品質異常</t>
    <phoneticPr fontId="8"/>
  </si>
  <si>
    <t>SOI_PRODUCT_QUALITY_ANOMALY_RESTRICTION</t>
    <phoneticPr fontId="8"/>
  </si>
  <si>
    <t>【標準指示】品種－品質異常－アクセス制限</t>
    <phoneticPr fontId="8"/>
  </si>
  <si>
    <t>SOI_PRODUCT_QUALITY_ANOMALY_ANOMALY_RESTRICTION</t>
    <phoneticPr fontId="8"/>
  </si>
  <si>
    <t>【標準指示】品種－品質異常－異常－アクセス制限</t>
    <phoneticPr fontId="8"/>
  </si>
  <si>
    <t>SOI_PRODUCT_QUALITY_ANOMALY_TREAT_RESTRICTION</t>
    <phoneticPr fontId="8"/>
  </si>
  <si>
    <t>【標準指示】品種－品質異常－処置－アクセス制限</t>
    <phoneticPr fontId="8"/>
  </si>
  <si>
    <t>SOI_PRODUCT_QUALITY_ANOMALY_OCCURRENCE_CAUSE_RESTRICTION</t>
    <phoneticPr fontId="8"/>
  </si>
  <si>
    <t>【標準指示】品種－品質異常－発生原因－アクセス制限</t>
    <phoneticPr fontId="8"/>
  </si>
  <si>
    <t>SOI_PRODUCT_QUALITY_ANOMALY_OCCURRENCE_MEASURE_RESTRICTION</t>
    <phoneticPr fontId="8"/>
  </si>
  <si>
    <t>【標準指示】品種－品質異常－発生対策－アクセス制限</t>
    <phoneticPr fontId="8"/>
  </si>
  <si>
    <t>SOI_PRODUCT_QUALITY_ANOMALY_SPILL_CAUSE_RESTRICTION</t>
    <phoneticPr fontId="8"/>
  </si>
  <si>
    <t>【標準指示】品種－品質異常－流出原因－アクセス制限</t>
    <phoneticPr fontId="8"/>
  </si>
  <si>
    <t>SOI_PRODUCT_QUALITY_ANOMALY_SPILL_MEASURE_RESTRICTION</t>
    <phoneticPr fontId="8"/>
  </si>
  <si>
    <t>【標準指示】品種－品質異常－流出対策－アクセス制限</t>
    <phoneticPr fontId="8"/>
  </si>
  <si>
    <t>SOI_PRODUCT_QUALITY_ANOMALY_CONFIRM_RESTRICTION</t>
    <phoneticPr fontId="8"/>
  </si>
  <si>
    <t>【標準指示】品種－品質異常－効果確認－アクセス制限</t>
    <phoneticPr fontId="8"/>
  </si>
  <si>
    <t>SOI_PRODUCT_PRODUCTION_ANOMALY</t>
    <phoneticPr fontId="8"/>
  </si>
  <si>
    <t>【標準指示】品種－生産異常</t>
    <phoneticPr fontId="8"/>
  </si>
  <si>
    <t>SOI_PRODUCT_PRODUCTION_ANOMALY_RESTRICTION</t>
    <phoneticPr fontId="8"/>
  </si>
  <si>
    <t>【標準指示】品種－生産異常－アクセス制限</t>
    <phoneticPr fontId="8"/>
  </si>
  <si>
    <t>SOI_PRODUCT_PRODUCTION_ANOMALY_ANOMALY_RESTRICTION</t>
    <phoneticPr fontId="8"/>
  </si>
  <si>
    <t>【標準指示】品種－生産異常－異常－アクセス制限</t>
    <phoneticPr fontId="8"/>
  </si>
  <si>
    <t>SOI_PRODUCT_PRODUCTION_ANOMALY_TREAT_RESTRICTION</t>
    <phoneticPr fontId="8"/>
  </si>
  <si>
    <t>【標準指示】品種－生産異常－処置－アクセス制限</t>
    <phoneticPr fontId="8"/>
  </si>
  <si>
    <t>SOI_PRODUCT_PRODUCTION_ANOMALY_OCCURRENCE_CAUSE_RESTRICTION</t>
    <phoneticPr fontId="8"/>
  </si>
  <si>
    <t>【標準指示】品種－生産異常－発生原因－アクセス制限</t>
    <phoneticPr fontId="8"/>
  </si>
  <si>
    <t>SOI_PRODUCT_PRODUCTION_ANOMALY_OCCURRENCE_MEASURE_RESTRICTION</t>
    <phoneticPr fontId="8"/>
  </si>
  <si>
    <t>【標準指示】品種－生産異常－発生対策－アクセス制限</t>
    <phoneticPr fontId="8"/>
  </si>
  <si>
    <t>SOI_PRODUCT_PRODUCTION_ANOMALY_SPILL_CAUSE_RESTRICTION</t>
    <phoneticPr fontId="8"/>
  </si>
  <si>
    <t>【標準指示】品種－生産異常－流出原因－アクセス制限</t>
    <phoneticPr fontId="8"/>
  </si>
  <si>
    <t>SOI_PRODUCT_PRODUCTION_ANOMALY_SPILL_MEASURE_RESTRICTION</t>
    <phoneticPr fontId="8"/>
  </si>
  <si>
    <t>【標準指示】品種－生産異常－流出対策－アクセス制限</t>
    <phoneticPr fontId="8"/>
  </si>
  <si>
    <t>SOI_PRODUCT_PRODUCTION_ANOMALY_CONFIRM_RESTRICTION</t>
    <phoneticPr fontId="8"/>
  </si>
  <si>
    <t>【標準指示】品種－生産異常－効果確認－アクセス制限</t>
    <phoneticPr fontId="8"/>
  </si>
  <si>
    <t>SOI_PRODUCTION_TYPE_QUALITY_ANOMALY</t>
    <phoneticPr fontId="8"/>
  </si>
  <si>
    <t>【標準指示】生産種別－品質異常</t>
    <phoneticPr fontId="8"/>
  </si>
  <si>
    <t>SOI_PRODUCTION_TYPE_QUALITY_ANOMALY_RESTRICTION</t>
    <phoneticPr fontId="8"/>
  </si>
  <si>
    <t>【標準指示】生産種別－品質異常－アクセス制限</t>
    <phoneticPr fontId="8"/>
  </si>
  <si>
    <t>SOI_PRODUCTION_TYPE_QUALITY_ANOMALY_ANOMALY_RESTRICTION</t>
    <phoneticPr fontId="8"/>
  </si>
  <si>
    <t>【標準指示】生産種別－品質異常－異常－アクセス制限</t>
    <phoneticPr fontId="8"/>
  </si>
  <si>
    <t>SOI_PRODUCTION_TYPE_QUALITY_ANOMALY_TREAT_RESTRICTION</t>
    <phoneticPr fontId="8"/>
  </si>
  <si>
    <t xml:space="preserve">【標準指示】生産種別－品質異常－処置－アクセス制限 </t>
    <phoneticPr fontId="8"/>
  </si>
  <si>
    <t>SOI_PRODUCTION_TYPE_QUALITY_ANOMALY_OCCURRENCE_CAUSE_RESTRICTION</t>
    <phoneticPr fontId="8"/>
  </si>
  <si>
    <t>【標準指示】生産種別－品質異常－発生原因－アクセス制限</t>
    <phoneticPr fontId="8"/>
  </si>
  <si>
    <t>SOI_PRODUCTION_TYPE_QUALITY_ANOMALY_OCCURRENCE_MEASURE_RESTRICTION</t>
    <phoneticPr fontId="8"/>
  </si>
  <si>
    <t>【標準指示】生産種別－品質異常－発生対策－アクセス制限</t>
    <phoneticPr fontId="8"/>
  </si>
  <si>
    <t>SOI_PRODUCTION_TYPE_QUALITY_ANOMALY_SPILL_CAUSE_RESTRICTION</t>
    <phoneticPr fontId="8"/>
  </si>
  <si>
    <t>【標準指示】生産種別－品質異常－流出原因－アクセス制限</t>
    <phoneticPr fontId="8"/>
  </si>
  <si>
    <t>SOI_PRODUCTION_TYPE_QUALITY_ANOMALY_SPILL_MEASURE_RESTRICTION</t>
    <phoneticPr fontId="8"/>
  </si>
  <si>
    <t>【標準指示】生産種別－品質異常－流出対策－アクセス制限</t>
    <phoneticPr fontId="8"/>
  </si>
  <si>
    <t>SOI_PRODUCTION_TYPE_QUALITY_ANOMALY_CONFIRM_RESTRICTION</t>
    <phoneticPr fontId="8"/>
  </si>
  <si>
    <t>【標準指示】生産種別－品質異常－効果確認－アクセス制限</t>
    <phoneticPr fontId="8"/>
  </si>
  <si>
    <t>SOI_PRODUCTION_TYPE_PRODUCTION_ANOMALY</t>
    <phoneticPr fontId="8"/>
  </si>
  <si>
    <t>【標準指示】生産種別－生産異常</t>
    <phoneticPr fontId="8"/>
  </si>
  <si>
    <t>SOI_PRODUCTION_TYPE_PRODUCTION_ANOMALY_RESTRICTION</t>
    <phoneticPr fontId="8"/>
  </si>
  <si>
    <t>【標準指示】生産種別－生産異常－アクセス制限</t>
    <phoneticPr fontId="8"/>
  </si>
  <si>
    <t>SOI_PRODUCTION_TYPE_PRODUCTION_ANOMALY_ANOMALY_RESTRICTION</t>
    <phoneticPr fontId="8"/>
  </si>
  <si>
    <t>【標準指示】生産種別－生産異常－異常－アクセス制限</t>
    <phoneticPr fontId="8"/>
  </si>
  <si>
    <t>SOI_PRODUCTION_TYPE_PRODUCTION_ANOMALY_TREAT_RESTRICTION</t>
    <phoneticPr fontId="8"/>
  </si>
  <si>
    <t>【標準指示】生産種別－生産異常－処置－アクセス制限</t>
    <phoneticPr fontId="8"/>
  </si>
  <si>
    <t>SOI_PRODUCTION_TYPE_PRODUCTION_ANOMALY_OCCURRENCE_CAUSE_RESTRICTION</t>
    <phoneticPr fontId="8"/>
  </si>
  <si>
    <t>【標準指示】生産種別－生産異常－発生原因－アクセス制限</t>
    <phoneticPr fontId="8"/>
  </si>
  <si>
    <t>SOI_PRODUCTION_TYPE_PRODUCTION_ANOMALY_OCCURRENCE_MEASURE_RESTRICTION</t>
    <phoneticPr fontId="8"/>
  </si>
  <si>
    <t>【標準指示】生産種別－生産異常－発生対策－アクセス制限</t>
    <phoneticPr fontId="8"/>
  </si>
  <si>
    <t>SOI_PRODUCTION_TYPE_PRODUCTION_ANOMALY_SPILL_CAUSE_RESTRICTION</t>
    <phoneticPr fontId="8"/>
  </si>
  <si>
    <t>【標準指示】生産種別－生産異常－流出原因－アクセス制限</t>
    <phoneticPr fontId="8"/>
  </si>
  <si>
    <t>SOI_PRODUCTION_TYPE_PRODUCTION_ANOMALY_SPILL_MEASURE_RESTRICTION</t>
    <phoneticPr fontId="8"/>
  </si>
  <si>
    <t>【標準指示】生産種別－生産異常－流出対策－アクセス制限</t>
    <phoneticPr fontId="8"/>
  </si>
  <si>
    <t>SOI_PRODUCTION_TYPE_PRODUCTION_ANOMALY_CONFIRM_RESTRICTION</t>
    <phoneticPr fontId="8"/>
  </si>
  <si>
    <t>【標準指示】生産種別－生産異常－効果確認－アクセス制限</t>
    <phoneticPr fontId="8"/>
  </si>
  <si>
    <t>SOI_OPERATE_OPERATION_ANOMALY</t>
    <phoneticPr fontId="8"/>
  </si>
  <si>
    <t>【標準指示】稼動－稼動異常</t>
    <phoneticPr fontId="8"/>
  </si>
  <si>
    <t>SOI_OPERATE_OPERATION_ANOMALY_RESTRICTION</t>
    <phoneticPr fontId="8"/>
  </si>
  <si>
    <t>【標準指示】稼動－稼動異常－アクセス制限</t>
    <phoneticPr fontId="8"/>
  </si>
  <si>
    <t>SOI_OPERATE_OPERATION_ANOMALY_ANOMALY_RESTRICTION</t>
    <phoneticPr fontId="8"/>
  </si>
  <si>
    <t>【標準指示】稼動－稼動異常－異常－アクセス制限</t>
    <phoneticPr fontId="8"/>
  </si>
  <si>
    <t>SOI_OPERATE_OPERATION_ANOMALY_TREAT_RESTRICTION</t>
    <phoneticPr fontId="8"/>
  </si>
  <si>
    <t>【標準指示】稼動－稼動異常－処置－アクセス制限</t>
    <phoneticPr fontId="8"/>
  </si>
  <si>
    <t>SOI_OPERATE_OPERATION_ANOMALY_OCCURRENCE_CAUSE_RESTRICTION</t>
    <phoneticPr fontId="8"/>
  </si>
  <si>
    <t>【標準指示】稼動－稼動異常－発生原因－アクセス制限</t>
    <phoneticPr fontId="8"/>
  </si>
  <si>
    <t>SOI_OPERATE_OPERATION_ANOMALY_OCCURRENCE_MEASURE_RESTRICTION</t>
    <phoneticPr fontId="8"/>
  </si>
  <si>
    <t>【標準指示】稼動－稼動異常－発生対策－アクセス制限</t>
    <phoneticPr fontId="8"/>
  </si>
  <si>
    <t>SOI_OPERATE_OPERATION_ANOMALY_SPILL_CAUSE_RESTRICTION</t>
    <phoneticPr fontId="8"/>
  </si>
  <si>
    <t>【標準指示】稼動－稼動異常－流出原因－アクセス制限</t>
    <phoneticPr fontId="8"/>
  </si>
  <si>
    <t>SOI_OPERATE_OPERATION_ANOMALY_SPILL_MEASURE_RESTRICTION</t>
    <phoneticPr fontId="8"/>
  </si>
  <si>
    <t>【標準指示】稼動－稼動異常－流出対策－アクセス制限</t>
    <phoneticPr fontId="8"/>
  </si>
  <si>
    <t>SOI_OPERATE_OPERATION_ANOMALY_CONFIRM_RESTRICTION</t>
    <phoneticPr fontId="8"/>
  </si>
  <si>
    <t>【標準指示】稼動－稼動異常－効果確認－アクセス制限</t>
    <phoneticPr fontId="8"/>
  </si>
  <si>
    <t>SOI_ANOMALY</t>
    <phoneticPr fontId="8"/>
  </si>
  <si>
    <t>【標準指示】異常区分</t>
    <phoneticPr fontId="8"/>
  </si>
  <si>
    <t>SOI_ANOMALY_TREAT_CATEGORY</t>
    <phoneticPr fontId="8"/>
  </si>
  <si>
    <t>【標準指示】処置分類</t>
    <phoneticPr fontId="8"/>
  </si>
  <si>
    <t>SOI_ANOMALY_OCCURRENCE_CAUSE_CATEGORY</t>
    <phoneticPr fontId="8"/>
  </si>
  <si>
    <t>【標準指示】発生原因分類</t>
    <phoneticPr fontId="8"/>
  </si>
  <si>
    <t>SOI_ANOMALY_OCCURRENCE_MEASURE_CATEGORY</t>
    <phoneticPr fontId="8"/>
  </si>
  <si>
    <t>【標準指示】発生対策分類</t>
    <phoneticPr fontId="8"/>
  </si>
  <si>
    <t>SOI_ANOMALY_SPILL_CAUSE_CATEGORY</t>
    <phoneticPr fontId="8"/>
  </si>
  <si>
    <t>【標準指示】流出原因分類</t>
    <phoneticPr fontId="8"/>
  </si>
  <si>
    <t>SOI_ANOMALY_SPILL_MEASURE_CATEGORY</t>
    <phoneticPr fontId="8"/>
  </si>
  <si>
    <t>【標準指示】流出対策分類</t>
    <phoneticPr fontId="8"/>
  </si>
  <si>
    <t>ANOMALY_ANOMALY_MASTER</t>
    <phoneticPr fontId="8"/>
  </si>
  <si>
    <t>異常－異常区分マスタ</t>
    <phoneticPr fontId="8"/>
  </si>
  <si>
    <t>ANOMALY_ANOMALY_MASTER_ITEM</t>
    <phoneticPr fontId="8"/>
  </si>
  <si>
    <t>異常－異常区分マスタ－項目</t>
    <phoneticPr fontId="8"/>
  </si>
  <si>
    <t>ANOMALY_ANOMALY_ITEM_MASTER</t>
    <phoneticPr fontId="8"/>
  </si>
  <si>
    <t>異常－異常区分項目マスタ</t>
    <phoneticPr fontId="8"/>
  </si>
  <si>
    <t>ANOMALY_CATEGORY_MASTER</t>
    <phoneticPr fontId="8"/>
  </si>
  <si>
    <t>異常－異常分類マスタ</t>
    <phoneticPr fontId="8"/>
  </si>
  <si>
    <t>ANOMALY_CATEGORY_MASTER_ITEM</t>
    <phoneticPr fontId="8"/>
  </si>
  <si>
    <t>異常－異常分類マスタ－項目</t>
    <phoneticPr fontId="8"/>
  </si>
  <si>
    <t>ANOMALY_CATEGORY_ITEM_MASTER</t>
    <phoneticPr fontId="8"/>
  </si>
  <si>
    <t>異常－異常分類項目マスタ</t>
    <phoneticPr fontId="8"/>
  </si>
  <si>
    <t>ANOMALY_PHENOMENON_MASTER</t>
    <phoneticPr fontId="8"/>
  </si>
  <si>
    <t>異常－異常現象マスタ</t>
    <phoneticPr fontId="8"/>
  </si>
  <si>
    <t>ANOMALY_PHENOMENON_MASTER_ITEM</t>
    <phoneticPr fontId="8"/>
  </si>
  <si>
    <t>異常－異常現象マスタ－項目</t>
    <phoneticPr fontId="8"/>
  </si>
  <si>
    <t>ANOMALY_PHENOMENON_ITEM_MASTER</t>
    <phoneticPr fontId="8"/>
  </si>
  <si>
    <t>異常－異常現象項目マスタ</t>
    <phoneticPr fontId="8"/>
  </si>
  <si>
    <t>ANOMALY_PART_MASTER</t>
    <phoneticPr fontId="8"/>
  </si>
  <si>
    <t>異常－異常箇所マスタ</t>
    <phoneticPr fontId="8"/>
  </si>
  <si>
    <t>ANOMALY_PART_MASTER_ITEM</t>
    <phoneticPr fontId="8"/>
  </si>
  <si>
    <t>異常－異常箇所マスタ－項目</t>
    <phoneticPr fontId="8"/>
  </si>
  <si>
    <t>ANOMALY_PART_ITEM_MASTER</t>
    <phoneticPr fontId="8"/>
  </si>
  <si>
    <t>異常－異常箇所項目マスタ</t>
    <phoneticPr fontId="8"/>
  </si>
  <si>
    <t>ANOMALY_DETAIL_MASTER</t>
    <phoneticPr fontId="8"/>
  </si>
  <si>
    <t>異常－異常内容マスタ</t>
    <phoneticPr fontId="8"/>
  </si>
  <si>
    <t>ANOMALY_DETAIL_MASTER_ITEM</t>
    <phoneticPr fontId="8"/>
  </si>
  <si>
    <t>異常－異常内容マスタ－項目</t>
    <phoneticPr fontId="8"/>
  </si>
  <si>
    <t>ANOMALY_DETAIL_ITEM_MASTER</t>
    <phoneticPr fontId="8"/>
  </si>
  <si>
    <t>異常－異常内容項目マスタ</t>
    <phoneticPr fontId="8"/>
  </si>
  <si>
    <t>ANOMALY_RANK_MASTER</t>
    <phoneticPr fontId="8"/>
  </si>
  <si>
    <t>異常－異常ランクマスタ</t>
    <phoneticPr fontId="8"/>
  </si>
  <si>
    <t>ANOMALY_RANK_MASTER_ITEM</t>
    <phoneticPr fontId="8"/>
  </si>
  <si>
    <t>異常－異常ランクマスタ－項目</t>
    <phoneticPr fontId="8"/>
  </si>
  <si>
    <t>ANOMALY_RANK_ITEM_MASTER</t>
    <phoneticPr fontId="8"/>
  </si>
  <si>
    <t>異常－異常ランク項目マスタ</t>
    <phoneticPr fontId="8"/>
  </si>
  <si>
    <t>ANOMALY_LINEOUT_MASTER</t>
    <phoneticPr fontId="8"/>
  </si>
  <si>
    <t>異常－ライン落ちマスタ</t>
    <phoneticPr fontId="8"/>
  </si>
  <si>
    <t>ANOMALY_LINEOUT_MASTER_ITEM</t>
    <phoneticPr fontId="8"/>
  </si>
  <si>
    <t>異常－ライン落ちマスタ－項目</t>
    <phoneticPr fontId="8"/>
  </si>
  <si>
    <t>ANOMALY_LINEOUT_ITEM_MASTER</t>
    <phoneticPr fontId="8"/>
  </si>
  <si>
    <t>異常－ライン落ち項目マスタ</t>
    <phoneticPr fontId="8"/>
  </si>
  <si>
    <t>ANOMALY_SOMETHING_MASTER</t>
    <phoneticPr fontId="8"/>
  </si>
  <si>
    <t>異常－何変マスタ</t>
    <phoneticPr fontId="8"/>
  </si>
  <si>
    <t>ANOMALY_SOMETHING_MASTER_ITEM</t>
    <phoneticPr fontId="8"/>
  </si>
  <si>
    <t>異常－何変マスタ－項目</t>
    <phoneticPr fontId="8"/>
  </si>
  <si>
    <t>ANOMALY_SOMETHING_ITEM_MASTER</t>
    <phoneticPr fontId="8"/>
  </si>
  <si>
    <t>異常－何変項目マスタ</t>
    <phoneticPr fontId="8"/>
  </si>
  <si>
    <t>ANOMALY_TREAT_CATEGORY_MASTER</t>
    <phoneticPr fontId="8"/>
  </si>
  <si>
    <t>異常－処置分類マスタ</t>
    <phoneticPr fontId="8"/>
  </si>
  <si>
    <t>ANOMALY_TREAT_CATEGORY_MASTER_ITEM</t>
    <phoneticPr fontId="8"/>
  </si>
  <si>
    <t>異常－処置分類マスタ－項目</t>
    <phoneticPr fontId="8"/>
  </si>
  <si>
    <t>ANOMALY_TREAT_CATEGORY_ITEM_MASTER</t>
    <phoneticPr fontId="8"/>
  </si>
  <si>
    <t>異常－処置分類項目マスタ</t>
    <phoneticPr fontId="8"/>
  </si>
  <si>
    <t>ANOMALY_TREAT_WAY_MASTER</t>
    <phoneticPr fontId="8"/>
  </si>
  <si>
    <t>異常－処置方法マスタ</t>
    <phoneticPr fontId="8"/>
  </si>
  <si>
    <t>ANOMALY_TREAT_WAY_MASTER_ITEM</t>
    <phoneticPr fontId="8"/>
  </si>
  <si>
    <t>異常－処置方法マスタ－項目</t>
    <phoneticPr fontId="8"/>
  </si>
  <si>
    <t>ANOMALY_TREAT_WAY_ITEM_MASTER</t>
    <phoneticPr fontId="8"/>
  </si>
  <si>
    <t>異常－処置方法項目マスタ</t>
    <phoneticPr fontId="8"/>
  </si>
  <si>
    <t>ANOMALY_TREAT_CONTENT_MASTER</t>
    <phoneticPr fontId="8"/>
  </si>
  <si>
    <t>異常－処置内容マスタ</t>
    <phoneticPr fontId="8"/>
  </si>
  <si>
    <t>ANOMALY_TREAT_CONTENT_MASTER_ITEM</t>
    <phoneticPr fontId="8"/>
  </si>
  <si>
    <t>異常－処置内容マスタ－項目</t>
    <phoneticPr fontId="8"/>
  </si>
  <si>
    <t>ANOMALY_TREAT_CONTENT_ITEM_MASTER</t>
    <phoneticPr fontId="8"/>
  </si>
  <si>
    <t>異常－処置内容項目マスタ</t>
    <phoneticPr fontId="8"/>
  </si>
  <si>
    <t>ANOMALY_UNREPEAT_MASTER</t>
    <phoneticPr fontId="8"/>
  </si>
  <si>
    <t>異常－不再現マスタ</t>
    <phoneticPr fontId="8"/>
  </si>
  <si>
    <t>ANOMALY_UNREPEAT_MASTER_ITEM</t>
    <phoneticPr fontId="8"/>
  </si>
  <si>
    <t>異常－不再現マスタ－項目</t>
    <phoneticPr fontId="8"/>
  </si>
  <si>
    <t>ANOMALY_UNREPEAT_ITEM_MASTER</t>
    <phoneticPr fontId="8"/>
  </si>
  <si>
    <t>異常－不再現項目マスタ</t>
    <phoneticPr fontId="8"/>
  </si>
  <si>
    <t>ANOMALY_OCCURRENCE_CAUSE_CATEGORY_MASTER</t>
    <phoneticPr fontId="8"/>
  </si>
  <si>
    <t>異常－発生原因分類マスタ</t>
    <phoneticPr fontId="8"/>
  </si>
  <si>
    <t>ANOMALY_OCCURRENCE_CAUSE_CATEGORY_MASTER_ITEM</t>
    <phoneticPr fontId="8"/>
  </si>
  <si>
    <t>異常－発生原因分類マスタ－項目</t>
    <phoneticPr fontId="8"/>
  </si>
  <si>
    <t>ANOMALY_OCCURRENCE_CAUSE_CATEGORY_ITEM_MASTER</t>
    <phoneticPr fontId="8"/>
  </si>
  <si>
    <t>異常－発生原因分類項目マスタ</t>
    <phoneticPr fontId="8"/>
  </si>
  <si>
    <t>ANOMALY_OCCURRENCE_CAUSE_CONTENT_MASTER</t>
    <phoneticPr fontId="8"/>
  </si>
  <si>
    <t>異常－発生原因内容マスタ</t>
    <phoneticPr fontId="8"/>
  </si>
  <si>
    <t>ANOMALY_OCCURRENCE_CAUSE_CONTENT_MASTER_ITEM</t>
    <phoneticPr fontId="8"/>
  </si>
  <si>
    <t>異常－発生原因内容マスタ－項目</t>
    <phoneticPr fontId="8"/>
  </si>
  <si>
    <t>ANOMALY_OCCURRENCE_CAUSE_CONTENT_ITEM_MASTER</t>
    <phoneticPr fontId="8"/>
  </si>
  <si>
    <t>異常－発生原因内容項目マスタ</t>
    <phoneticPr fontId="8"/>
  </si>
  <si>
    <t>ANOMALY_OCCURRENCE_MEASURE_CATEGORY_MASTER</t>
    <phoneticPr fontId="8"/>
  </si>
  <si>
    <t>異常－発生対策分類マスタ</t>
    <phoneticPr fontId="8"/>
  </si>
  <si>
    <t>ANOMALY_OCCURRENCE_MEASURE_CATEGORY_MASTER_ITEM</t>
    <phoneticPr fontId="8"/>
  </si>
  <si>
    <t>異常－発生対策分類マスタ－項目</t>
    <phoneticPr fontId="8"/>
  </si>
  <si>
    <t>ANOMALY_OCCURRENCE_MEASURE_CATEGORY_ITEM_MASTER</t>
    <phoneticPr fontId="8"/>
  </si>
  <si>
    <t>異常－発生対策分類項目マスタ</t>
    <phoneticPr fontId="8"/>
  </si>
  <si>
    <t>ANOMALY_OCCURRENCE_MEASURE_CONTENT_MASTER</t>
    <phoneticPr fontId="8"/>
  </si>
  <si>
    <t>異常－発生対策内容マスタ</t>
    <phoneticPr fontId="8"/>
  </si>
  <si>
    <t>ANOMALY_OCCURRENCE_MEASURE_CONTENT_MASTER_ITEM</t>
    <phoneticPr fontId="8"/>
  </si>
  <si>
    <t>異常－発生対策内容マスタ－項目</t>
    <phoneticPr fontId="8"/>
  </si>
  <si>
    <t>ANOMALY_OCCURRENCE_MEASURE_CONTENT_ITEM_MASTER</t>
    <phoneticPr fontId="8"/>
  </si>
  <si>
    <t>異常－発生対策内容項目マスタ</t>
    <phoneticPr fontId="8"/>
  </si>
  <si>
    <t>ANOMALY_SPILL_CAUSE_CATEGORY_MASTER</t>
    <phoneticPr fontId="8"/>
  </si>
  <si>
    <t>異常－流出原因分類マスタ</t>
    <phoneticPr fontId="8"/>
  </si>
  <si>
    <t>ANOMALY_SPILL_CAUSE_CATEGORY_MASTER_ITEM</t>
    <phoneticPr fontId="8"/>
  </si>
  <si>
    <t>異常－流出原因分類マスタ－項目</t>
    <phoneticPr fontId="8"/>
  </si>
  <si>
    <t>ANOMALY_SPILL_CAUSE_CATEGORY_ITEM_MASTER</t>
    <phoneticPr fontId="8"/>
  </si>
  <si>
    <t>異常－流出原因分類項目マスタ</t>
    <phoneticPr fontId="8"/>
  </si>
  <si>
    <t>ANOMALY_SPILL_CAUSE_CONTENT_MASTER</t>
    <phoneticPr fontId="8"/>
  </si>
  <si>
    <t>異常－流出原因内容マスタ</t>
    <phoneticPr fontId="8"/>
  </si>
  <si>
    <t>ANOMALY_SPILL_CAUSE_CONTENT_MASTER_ITEM</t>
    <phoneticPr fontId="8"/>
  </si>
  <si>
    <t>異常－流出原因内容マスタ－項目</t>
    <phoneticPr fontId="8"/>
  </si>
  <si>
    <t>ANOMALY_SPILL_CAUSE_CONTENT_ITEM_MASTER</t>
    <phoneticPr fontId="8"/>
  </si>
  <si>
    <t>異常－流出原因内容項目マスタ</t>
    <phoneticPr fontId="8"/>
  </si>
  <si>
    <t>ANOMALY_SPILL_MEASURE_CATEGORY_MASTER</t>
    <phoneticPr fontId="8"/>
  </si>
  <si>
    <t>異常－流出対策分類マスタ</t>
    <phoneticPr fontId="8"/>
  </si>
  <si>
    <t>ANOMALY_SPILL_MEASURE_CATEGORY_MASTER_ITEM</t>
    <phoneticPr fontId="8"/>
  </si>
  <si>
    <t>異常－流出対策分類マスタ－項目</t>
    <phoneticPr fontId="8"/>
  </si>
  <si>
    <t>ANOMALY_SPILL_MEASURE_CATEGORY_ITEM_MASTER</t>
    <phoneticPr fontId="8"/>
  </si>
  <si>
    <t>異常－流出対策分類項目マスタ</t>
    <phoneticPr fontId="8"/>
  </si>
  <si>
    <t>ANOMALY_SPILL_MEASURE_CONTENT_MASTER</t>
    <phoneticPr fontId="8"/>
  </si>
  <si>
    <t>異常－流出対策内容マスタ</t>
    <phoneticPr fontId="8"/>
  </si>
  <si>
    <t>ANOMALY_SPILL_MEASURE_CONTENT_MASTER_ITEM</t>
    <phoneticPr fontId="8"/>
  </si>
  <si>
    <t>異常－流出対策内容マスタ－項目</t>
    <phoneticPr fontId="8"/>
  </si>
  <si>
    <t>ANOMALY_SPILL_MEASURE_CONTENT_ITEM_MASTER</t>
    <phoneticPr fontId="8"/>
  </si>
  <si>
    <t>異常－流出対策内容項目マスタ</t>
    <phoneticPr fontId="8"/>
  </si>
  <si>
    <t>ANOMALY_CONFIRM_DECISION_MASTER</t>
    <phoneticPr fontId="8"/>
  </si>
  <si>
    <t>異常－効果確認判定マスタ</t>
    <phoneticPr fontId="8"/>
  </si>
  <si>
    <t>ANOMALY_CONFIRM_DECISION_MASTER_ITEM</t>
    <phoneticPr fontId="8"/>
  </si>
  <si>
    <t>異常－効果確認判定マスタ－項目</t>
    <phoneticPr fontId="8"/>
  </si>
  <si>
    <t>ANOMALY_CONFIRM_DECISION_ITEM_MASTER</t>
    <phoneticPr fontId="8"/>
  </si>
  <si>
    <t>異常－効果確認判定項目マスタ</t>
    <phoneticPr fontId="8"/>
  </si>
  <si>
    <t>ANOMALY_CONFIRM_CONTENT_MASTER</t>
    <phoneticPr fontId="8"/>
  </si>
  <si>
    <t>異常－効果確認内容マスタ</t>
    <phoneticPr fontId="8"/>
  </si>
  <si>
    <t>ANOMALY_CONFIRM_CONTENT_MASTER_ITEM</t>
    <phoneticPr fontId="8"/>
  </si>
  <si>
    <t>異常－効果確認内容マスタ－項目</t>
    <phoneticPr fontId="8"/>
  </si>
  <si>
    <t>ANOMALY_CONFIRM_CONTENT_ITEM_MASTER</t>
    <phoneticPr fontId="8"/>
  </si>
  <si>
    <t>異常－効果確認内容項目マスタ</t>
    <phoneticPr fontId="8"/>
  </si>
  <si>
    <t>ANOMALY_DISCOVER_SECTION_MASTER</t>
    <phoneticPr fontId="8"/>
  </si>
  <si>
    <t>異常－発見区マスタ</t>
    <phoneticPr fontId="8"/>
  </si>
  <si>
    <t>ANOMALY_DISCOVER_SECTION_MASTER_ITEM</t>
    <phoneticPr fontId="8"/>
  </si>
  <si>
    <t>異常－発見区マスタ－項目</t>
    <phoneticPr fontId="8"/>
  </si>
  <si>
    <t>ANOMALY_DISCOVER_SECTION_ITEM_MASTER</t>
    <phoneticPr fontId="8"/>
  </si>
  <si>
    <t>異常－発見区項目マスタ</t>
    <phoneticPr fontId="8"/>
  </si>
  <si>
    <t>ANOMALY_RESPONSIBLE_SECTION_MASTER</t>
    <phoneticPr fontId="8"/>
  </si>
  <si>
    <t>異常－責任区マスタ</t>
    <phoneticPr fontId="8"/>
  </si>
  <si>
    <t>ANOMALY_RESPONSIBLE_SECTION_MASTER_ITEM</t>
    <phoneticPr fontId="8"/>
  </si>
  <si>
    <t>異常－責任区マスタ－項目</t>
    <phoneticPr fontId="8"/>
  </si>
  <si>
    <t>ANOMALY_RESPONSIBLE_SECTION_ITEM_MASTER</t>
    <phoneticPr fontId="8"/>
  </si>
  <si>
    <t>異常－責任区項目マスタ</t>
    <phoneticPr fontId="8"/>
  </si>
  <si>
    <t>ANOMALY_OCCURRENCE_SECTION_MASTER</t>
    <phoneticPr fontId="8"/>
  </si>
  <si>
    <t>異常－発生区マスタ</t>
    <phoneticPr fontId="8"/>
  </si>
  <si>
    <t>ANOMALY_OCCURRENCE_SECTION_MASTER_ITEM</t>
    <phoneticPr fontId="8"/>
  </si>
  <si>
    <t>異常－発生区マスタ－項目</t>
    <phoneticPr fontId="8"/>
  </si>
  <si>
    <t>ANOMALY_OCCURRENCE_SECTION_ITEM_MASTER</t>
    <phoneticPr fontId="8"/>
  </si>
  <si>
    <t>異常－発生区項目マスタ</t>
    <phoneticPr fontId="8"/>
  </si>
  <si>
    <t>CALENDAR_MASTER</t>
    <phoneticPr fontId="8"/>
  </si>
  <si>
    <t>カレンダーマスタ</t>
    <phoneticPr fontId="8"/>
  </si>
  <si>
    <t>CALENDAR_MASTER_SHIFT</t>
    <phoneticPr fontId="8"/>
  </si>
  <si>
    <t>カレンダーマスタ－シフト</t>
    <phoneticPr fontId="8"/>
  </si>
  <si>
    <t>CALENDAR_MASTER_EXCEPTION</t>
    <phoneticPr fontId="8"/>
  </si>
  <si>
    <t>カレンダーマスタ－例外</t>
    <phoneticPr fontId="8"/>
  </si>
  <si>
    <t>CALENDAR_MASTER_EXCEPTION_SHIFT</t>
    <phoneticPr fontId="8"/>
  </si>
  <si>
    <t>カレンダーマスタ－例外－シフト</t>
    <phoneticPr fontId="8"/>
  </si>
  <si>
    <t>CHART_MASTER</t>
    <phoneticPr fontId="8"/>
  </si>
  <si>
    <t>図表マスタ</t>
    <phoneticPr fontId="8"/>
  </si>
  <si>
    <t>SCREEN_MASTER</t>
    <phoneticPr fontId="8"/>
  </si>
  <si>
    <t>画面マスタ</t>
    <phoneticPr fontId="8"/>
  </si>
  <si>
    <t>SCREEN_MASTER_TENANT</t>
    <phoneticPr fontId="8"/>
  </si>
  <si>
    <t>テナント別画面マスタ</t>
    <phoneticPr fontId="8"/>
  </si>
  <si>
    <t>SCREEN_MASTER_ENTERPRISE</t>
    <phoneticPr fontId="8"/>
  </si>
  <si>
    <t>事業別画面マスタ</t>
    <phoneticPr fontId="8"/>
  </si>
  <si>
    <t>SCREEN_MASTER_CATEGORY</t>
    <phoneticPr fontId="8"/>
  </si>
  <si>
    <t>カテゴリ別画面マスタ</t>
    <phoneticPr fontId="8"/>
  </si>
  <si>
    <t>SCREEN_MASTER_LOCATION</t>
    <phoneticPr fontId="8"/>
  </si>
  <si>
    <t>拠点別画面マスタ</t>
    <phoneticPr fontId="8"/>
  </si>
  <si>
    <t>CODE_MASTER</t>
    <phoneticPr fontId="8"/>
  </si>
  <si>
    <t>コードマスタ</t>
    <phoneticPr fontId="8"/>
  </si>
  <si>
    <t>PARTITIONING_MASTER</t>
    <phoneticPr fontId="8"/>
  </si>
  <si>
    <t>パーティショニングマスタ</t>
    <phoneticPr fontId="8"/>
  </si>
  <si>
    <t>LOG</t>
    <phoneticPr fontId="8"/>
  </si>
  <si>
    <t>ログ</t>
    <phoneticPr fontId="8"/>
  </si>
  <si>
    <t>LOG_TENANT</t>
    <phoneticPr fontId="8"/>
  </si>
  <si>
    <t>テナント別ログ</t>
    <phoneticPr fontId="8"/>
  </si>
  <si>
    <t>TableName</t>
  </si>
  <si>
    <t>DisplayName</t>
  </si>
  <si>
    <t>DB接続文字列</t>
    <rPh sb="2" eb="4">
      <t>セツゾク</t>
    </rPh>
    <rPh sb="4" eb="7">
      <t>モジレツ</t>
    </rPh>
    <phoneticPr fontId="1"/>
  </si>
  <si>
    <t>Driver={SQL Server}; Server=192.168.137.163; Uid=sa; Pwd=p; Database=Live06;</t>
    <phoneticPr fontId="1"/>
  </si>
  <si>
    <t>シート名</t>
    <phoneticPr fontId="1"/>
  </si>
  <si>
    <t>件数</t>
    <rPh sb="0" eb="2">
      <t>ケンスウ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</si>
</sst>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Tahoma"/>
      <family val="2"/>
      <charset val="128"/>
    </font>
    <font>
      <sz val="11"/>
      <color theme="0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13"/>
      <color theme="3"/>
      <name val="ＭＳ Ｐゴシック"/>
      <family val="2"/>
      <charset val="128"/>
      <scheme val="minor"/>
    </font>
    <font>
      <sz val="6"/>
      <name val="Tahoma"/>
      <family val="2"/>
      <charset val="128"/>
    </font>
    <font>
      <b/>
      <sz val="11"/>
      <color theme="0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17">
    <border>
      <left/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4" tint="0.39997558519241921"/>
      </left>
      <right/>
      <top style="double">
        <color auto="1"/>
      </top>
      <bottom style="thin">
        <color theme="4" tint="0.39997558519241921"/>
      </bottom>
      <diagonal/>
    </border>
    <border>
      <left/>
      <right/>
      <top style="double">
        <color auto="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double">
        <color auto="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3" fillId="2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Border="1">
      <alignment vertical="center"/>
    </xf>
    <xf numFmtId="0" fontId="5" fillId="2" borderId="2" xfId="2" applyFont="1" applyBorder="1">
      <alignment vertical="center"/>
    </xf>
    <xf numFmtId="0" fontId="0" fillId="0" borderId="0" xfId="0" applyNumberFormat="1">
      <alignment vertical="center"/>
    </xf>
    <xf numFmtId="0" fontId="0" fillId="3" borderId="5" xfId="0" applyFont="1" applyFill="1" applyBorder="1">
      <alignment vertical="center"/>
    </xf>
    <xf numFmtId="0" fontId="0" fillId="0" borderId="5" xfId="0" applyFont="1" applyBorder="1">
      <alignment vertical="center"/>
    </xf>
    <xf numFmtId="0" fontId="0" fillId="0" borderId="0" xfId="0" applyAlignment="1">
      <alignment vertical="center" wrapText="1"/>
    </xf>
    <xf numFmtId="0" fontId="0" fillId="0" borderId="6" xfId="0" applyFont="1" applyBorder="1">
      <alignment vertical="center"/>
    </xf>
    <xf numFmtId="0" fontId="0" fillId="0" borderId="7" xfId="0" applyFont="1" applyBorder="1">
      <alignment vertical="center"/>
    </xf>
    <xf numFmtId="0" fontId="0" fillId="3" borderId="6" xfId="0" applyFont="1" applyFill="1" applyBorder="1">
      <alignment vertical="center"/>
    </xf>
    <xf numFmtId="0" fontId="0" fillId="3" borderId="7" xfId="0" applyFont="1" applyFill="1" applyBorder="1">
      <alignment vertical="center"/>
    </xf>
    <xf numFmtId="0" fontId="0" fillId="4" borderId="0" xfId="0" applyFill="1">
      <alignment vertical="center"/>
    </xf>
    <xf numFmtId="0" fontId="9" fillId="5" borderId="8" xfId="0" applyFont="1" applyFill="1" applyBorder="1">
      <alignment vertical="center"/>
    </xf>
    <xf numFmtId="0" fontId="9" fillId="5" borderId="9" xfId="0" applyFont="1" applyFill="1" applyBorder="1">
      <alignment vertical="center"/>
    </xf>
    <xf numFmtId="0" fontId="0" fillId="3" borderId="8" xfId="0" applyFont="1" applyFill="1" applyBorder="1">
      <alignment vertical="center"/>
    </xf>
    <xf numFmtId="0" fontId="0" fillId="3" borderId="9" xfId="0" applyFont="1" applyFill="1" applyBorder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  <xf numFmtId="0" fontId="0" fillId="3" borderId="10" xfId="0" applyFont="1" applyFill="1" applyBorder="1">
      <alignment vertical="center"/>
    </xf>
    <xf numFmtId="0" fontId="0" fillId="0" borderId="10" xfId="0" applyFont="1" applyBorder="1">
      <alignment vertical="center"/>
    </xf>
    <xf numFmtId="0" fontId="9" fillId="5" borderId="0" xfId="0" applyFont="1" applyFill="1" applyBorder="1">
      <alignment vertical="center"/>
    </xf>
    <xf numFmtId="0" fontId="0" fillId="0" borderId="11" xfId="0" applyBorder="1">
      <alignment vertical="center"/>
    </xf>
    <xf numFmtId="0" fontId="3" fillId="2" borderId="11" xfId="2" applyBorder="1">
      <alignment vertical="center"/>
    </xf>
    <xf numFmtId="0" fontId="5" fillId="2" borderId="12" xfId="2" applyNumberFormat="1" applyFont="1" applyFill="1" applyBorder="1" applyAlignment="1">
      <alignment horizontal="center" vertical="center"/>
    </xf>
    <xf numFmtId="0" fontId="5" fillId="2" borderId="13" xfId="2" applyFont="1" applyFill="1" applyBorder="1" applyAlignment="1">
      <alignment horizontal="center" vertical="center"/>
    </xf>
    <xf numFmtId="0" fontId="0" fillId="3" borderId="14" xfId="0" applyFont="1" applyFill="1" applyBorder="1">
      <alignment vertical="center"/>
    </xf>
    <xf numFmtId="0" fontId="0" fillId="3" borderId="15" xfId="0" applyFont="1" applyFill="1" applyBorder="1">
      <alignment vertical="center"/>
    </xf>
    <xf numFmtId="0" fontId="0" fillId="3" borderId="16" xfId="0" applyFont="1" applyFill="1" applyBorder="1">
      <alignment vertical="center"/>
    </xf>
    <xf numFmtId="0" fontId="4" fillId="0" borderId="3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</cellXfs>
  <cellStyles count="3">
    <cellStyle name="アクセント 1" xfId="2" builtinId="29"/>
    <cellStyle name="標準" xfId="0" builtinId="0"/>
    <cellStyle name="標準 2 2" xfId="1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28575</xdr:rowOff>
        </xdr:from>
        <xdr:to>
          <xdr:col>4</xdr:col>
          <xdr:colOff>1123950</xdr:colOff>
          <xdr:row>0</xdr:row>
          <xdr:rowOff>247650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19050</xdr:rowOff>
        </xdr:from>
        <xdr:to>
          <xdr:col>5</xdr:col>
          <xdr:colOff>0</xdr:colOff>
          <xdr:row>1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19050</xdr:rowOff>
        </xdr:from>
        <xdr:to>
          <xdr:col>6</xdr:col>
          <xdr:colOff>0</xdr:colOff>
          <xdr:row>1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SOURCE_PRODUCTION_TABLELIST" displayName="SOURCE_PRODUCTION_TABLELIST" ref="A1:E256" totalsRowShown="0">
  <autoFilter ref="A1:E256"/>
  <tableColumns count="5">
    <tableColumn id="1" name="No"/>
    <tableColumn id="2" name="カテゴリ"/>
    <tableColumn id="3" name="テーブル名" dataDxfId="12">
      <calculatedColumnFormula>IF(ISNA( VLOOKUP(D2,旧テーブル一覧!$A$2:$B$332,2,FALSE)),"",VLOOKUP(D2,旧テーブル一覧!$A$2:$B$332,2,FALSE))</calculatedColumnFormula>
    </tableColumn>
    <tableColumn id="4" name="物理名"/>
    <tableColumn id="5" name="シート名" dataDxfId="11">
      <calculatedColumnFormula>SOURCE_PRODUCTION_TABLELIST[[#This Row],[テーブル名]]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SOURCE_OPERATION_TABLELIST" displayName="SOURCE_OPERATION_TABLELIST" ref="A1:E251" totalsRowShown="0">
  <autoFilter ref="A1:E251"/>
  <tableColumns count="5">
    <tableColumn id="1" name="No"/>
    <tableColumn id="2" name="カテゴリ"/>
    <tableColumn id="3" name="テーブル名" dataDxfId="10">
      <calculatedColumnFormula>IF(ISNA( VLOOKUP(D2,旧テーブル一覧!$A$2:$B$332,2,FALSE)),"",VLOOKUP(D2,旧テーブル一覧!$A$2:$B$332,2,FALSE))</calculatedColumnFormula>
    </tableColumn>
    <tableColumn id="4" name="物理名"/>
    <tableColumn id="5" name="シート名" dataDxfId="9">
      <calculatedColumnFormula>SOURCE_OPERATION_TABLELIST[[#This Row],[テーブル名]]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PRODUCTION_TABLELIST" displayName="PRODUCTION_TABLELIST" ref="A1:E83" totalsRowShown="0">
  <autoFilter ref="A1:E83"/>
  <tableColumns count="5">
    <tableColumn id="1" name="No"/>
    <tableColumn id="2" name="カテゴリ"/>
    <tableColumn id="3" name="テーブル名"/>
    <tableColumn id="4" name="物理名"/>
    <tableColumn id="5" name="シート名" dataDxfId="8">
      <calculatedColumnFormula>PRODUCTION_TABLELIST[[#This Row],[テーブル名]]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OPERATION_TABLELIST" displayName="OPERATION_TABLELIST" ref="A1:E48" totalsRowShown="0">
  <autoFilter ref="A1:E48"/>
  <tableColumns count="5">
    <tableColumn id="1" name="No"/>
    <tableColumn id="2" name="カテゴリ"/>
    <tableColumn id="3" name="テーブル名">
      <calculatedColumnFormula>IF(ISNA( VLOOKUP(D2,テーブル一覧2!$A$2:$B$670,2,FALSE)),"",VLOOKUP(D2,テーブル一覧2!$A$2:$B$670,2,FALSE))</calculatedColumnFormula>
    </tableColumn>
    <tableColumn id="4" name="物理名"/>
    <tableColumn id="5" name="シート名" dataDxfId="7">
      <calculatedColumnFormula>OPERATION_TABLELIST[[#This Row],[テーブル名]]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ableIndex" displayName="TableIndex" ref="A1:B674" totalsRowShown="0" headerRowDxfId="6" dataDxfId="5" tableBorderDxfId="4">
  <autoFilter ref="A1:B674"/>
  <tableColumns count="2">
    <tableColumn id="1" name="TableName" dataDxfId="3"/>
    <tableColumn id="2" name="DisplayName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OldTableIndex" displayName="OldTableIndex" ref="A1:B82" totalsRowShown="0">
  <autoFilter ref="A1:B82"/>
  <tableColumns count="2">
    <tableColumn id="1" name="TableName" dataDxfId="1"/>
    <tableColumn id="2" name="Display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2"/>
  <sheetViews>
    <sheetView tabSelected="1" workbookViewId="0">
      <selection activeCell="I11" sqref="I11"/>
    </sheetView>
  </sheetViews>
  <sheetFormatPr defaultRowHeight="13.5" x14ac:dyDescent="0.15"/>
  <cols>
    <col min="1" max="1" width="16.625" customWidth="1"/>
    <col min="2" max="2" width="19.875" customWidth="1"/>
    <col min="3" max="3" width="17.875" customWidth="1"/>
    <col min="4" max="4" width="12.625" hidden="1" customWidth="1"/>
    <col min="5" max="5" width="15" customWidth="1"/>
  </cols>
  <sheetData>
    <row r="1" spans="1:4" ht="21" customHeight="1" thickBot="1" x14ac:dyDescent="0.2">
      <c r="A1" s="23" t="s">
        <v>0</v>
      </c>
      <c r="B1" s="23" t="s">
        <v>1</v>
      </c>
      <c r="C1" s="23" t="s">
        <v>2880</v>
      </c>
      <c r="D1" s="24" t="s">
        <v>2879</v>
      </c>
    </row>
    <row r="2" spans="1:4" ht="14.25" thickTop="1" x14ac:dyDescent="0.15">
      <c r="A2" s="25"/>
      <c r="B2" s="26"/>
      <c r="C2" s="26"/>
      <c r="D2" s="2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etAllDatas">
                <anchor moveWithCells="1">
                  <from>
                    <xdr:col>4</xdr:col>
                    <xdr:colOff>28575</xdr:colOff>
                    <xdr:row>0</xdr:row>
                    <xdr:rowOff>28575</xdr:rowOff>
                  </from>
                  <to>
                    <xdr:col>4</xdr:col>
                    <xdr:colOff>1123950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56"/>
  <sheetViews>
    <sheetView workbookViewId="0">
      <selection activeCell="D55" sqref="D55"/>
    </sheetView>
  </sheetViews>
  <sheetFormatPr defaultRowHeight="13.5" x14ac:dyDescent="0.15"/>
  <cols>
    <col min="2" max="2" width="17.5" customWidth="1"/>
    <col min="3" max="3" width="38.25" bestFit="1" customWidth="1"/>
    <col min="4" max="4" width="76.875" bestFit="1" customWidth="1"/>
    <col min="5" max="5" width="38.25" bestFit="1" customWidth="1"/>
  </cols>
  <sheetData>
    <row r="1" spans="1:5" x14ac:dyDescent="0.15">
      <c r="A1" t="s">
        <v>5</v>
      </c>
      <c r="B1" t="s">
        <v>4</v>
      </c>
      <c r="C1" t="s">
        <v>0</v>
      </c>
      <c r="D1" t="s">
        <v>1</v>
      </c>
      <c r="E1" t="s">
        <v>2</v>
      </c>
    </row>
    <row r="2" spans="1:5" x14ac:dyDescent="0.15">
      <c r="A2">
        <f>ROW()-1</f>
        <v>1</v>
      </c>
      <c r="B2" t="s">
        <v>140</v>
      </c>
      <c r="C2" t="str">
        <f>IF(ISNA( VLOOKUP(D2,旧テーブル一覧!$A$2:$B$332,2,FALSE)),"",VLOOKUP(D2,旧テーブル一覧!$A$2:$B$332,2,FALSE))</f>
        <v>生産計画</v>
      </c>
      <c r="D2" s="1" t="s">
        <v>1534</v>
      </c>
      <c r="E2" t="str">
        <f>CONCATENATE( SOURCE_PRODUCTION_TABLELIST[[#This Row],[テーブル名]],"(移行先)")</f>
        <v>生産計画(移行先)</v>
      </c>
    </row>
    <row r="3" spans="1:5" x14ac:dyDescent="0.15">
      <c r="A3">
        <f t="shared" ref="A3:A11" si="0">ROW()-1</f>
        <v>2</v>
      </c>
      <c r="B3" t="s">
        <v>140</v>
      </c>
      <c r="C3" t="str">
        <f>IF(ISNA( VLOOKUP(D3,旧テーブル一覧!$A$2:$B$332,2,FALSE)),"",VLOOKUP(D3,旧テーブル一覧!$A$2:$B$332,2,FALSE))</f>
        <v>トレーサビリティ計画</v>
      </c>
      <c r="D3" s="1" t="s">
        <v>357</v>
      </c>
      <c r="E3" t="str">
        <f>CONCATENATE( SOURCE_PRODUCTION_TABLELIST[[#This Row],[テーブル名]],"(移行先)")</f>
        <v>トレーサビリティ計画(移行先)</v>
      </c>
    </row>
    <row r="4" spans="1:5" x14ac:dyDescent="0.15">
      <c r="A4" s="11">
        <f t="shared" si="0"/>
        <v>3</v>
      </c>
      <c r="B4" t="s">
        <v>377</v>
      </c>
      <c r="C4" t="str">
        <f>IF(ISNA( VLOOKUP(D4,旧テーブル一覧!$A$2:$B$332,2,FALSE)),"",VLOOKUP(D4,旧テーブル一覧!$A$2:$B$332,2,FALSE))</f>
        <v>生産実績</v>
      </c>
      <c r="D4" s="1" t="s">
        <v>358</v>
      </c>
      <c r="E4" t="str">
        <f>CONCATENATE( SOURCE_PRODUCTION_TABLELIST[[#This Row],[テーブル名]],"(移行先)")</f>
        <v>生産実績(移行先)</v>
      </c>
    </row>
    <row r="5" spans="1:5" x14ac:dyDescent="0.15">
      <c r="A5">
        <f t="shared" si="0"/>
        <v>4</v>
      </c>
      <c r="B5" t="s">
        <v>377</v>
      </c>
      <c r="C5" t="str">
        <f>IF(ISNA( VLOOKUP(D5,旧テーブル一覧!$A$2:$B$332,2,FALSE)),"",VLOOKUP(D5,旧テーブル一覧!$A$2:$B$332,2,FALSE))</f>
        <v>生産実績製品明細</v>
      </c>
      <c r="D5" s="1" t="s">
        <v>359</v>
      </c>
      <c r="E5" t="str">
        <f>CONCATENATE( SOURCE_PRODUCTION_TABLELIST[[#This Row],[テーブル名]],"(移行先)")</f>
        <v>生産実績製品明細(移行先)</v>
      </c>
    </row>
    <row r="6" spans="1:5" x14ac:dyDescent="0.15">
      <c r="A6" s="11">
        <f t="shared" si="0"/>
        <v>5</v>
      </c>
      <c r="B6" t="s">
        <v>377</v>
      </c>
      <c r="C6" t="str">
        <f>IF(ISNA( VLOOKUP(D6,旧テーブル一覧!$A$2:$B$332,2,FALSE)),"",VLOOKUP(D6,旧テーブル一覧!$A$2:$B$332,2,FALSE))</f>
        <v>生産実績工程明細</v>
      </c>
      <c r="D6" s="1" t="s">
        <v>360</v>
      </c>
      <c r="E6" t="str">
        <f>CONCATENATE( SOURCE_PRODUCTION_TABLELIST[[#This Row],[テーブル名]],"(移行先)")</f>
        <v>生産実績工程明細(移行先)</v>
      </c>
    </row>
    <row r="7" spans="1:5" x14ac:dyDescent="0.15">
      <c r="A7">
        <f t="shared" si="0"/>
        <v>6</v>
      </c>
      <c r="B7" t="s">
        <v>377</v>
      </c>
      <c r="C7" t="str">
        <f>IF(ISNA( VLOOKUP(D7,旧テーブル一覧!$A$2:$B$332,2,FALSE)),"",VLOOKUP(D7,旧テーブル一覧!$A$2:$B$332,2,FALSE))</f>
        <v>異常・対応実績</v>
      </c>
      <c r="D7" s="1" t="s">
        <v>361</v>
      </c>
      <c r="E7" t="str">
        <f>CONCATENATE( SOURCE_PRODUCTION_TABLELIST[[#This Row],[テーブル名]],"(移行先)")</f>
        <v>異常・対応実績(移行先)</v>
      </c>
    </row>
    <row r="8" spans="1:5" x14ac:dyDescent="0.15">
      <c r="A8" s="11">
        <f t="shared" si="0"/>
        <v>7</v>
      </c>
      <c r="B8" t="s">
        <v>377</v>
      </c>
      <c r="C8" t="str">
        <f>IF(ISNA( VLOOKUP(D8,旧テーブル一覧!$A$2:$B$332,2,FALSE)),"",VLOOKUP(D8,旧テーブル一覧!$A$2:$B$332,2,FALSE))</f>
        <v>生産実績構成明細</v>
      </c>
      <c r="D8" s="1" t="s">
        <v>362</v>
      </c>
      <c r="E8" t="str">
        <f>CONCATENATE( SOURCE_PRODUCTION_TABLELIST[[#This Row],[テーブル名]],"(移行先)")</f>
        <v>生産実績構成明細(移行先)</v>
      </c>
    </row>
    <row r="9" spans="1:5" x14ac:dyDescent="0.15">
      <c r="A9" s="11">
        <f t="shared" si="0"/>
        <v>8</v>
      </c>
      <c r="B9" t="s">
        <v>377</v>
      </c>
      <c r="C9" t="str">
        <f>IF(ISNA( VLOOKUP(D9,旧テーブル一覧!$A$2:$B$332,2,FALSE)),"",VLOOKUP(D9,旧テーブル一覧!$A$2:$B$332,2,FALSE))</f>
        <v>検査実績</v>
      </c>
      <c r="D9" s="1" t="s">
        <v>363</v>
      </c>
      <c r="E9" t="str">
        <f>CONCATENATE( SOURCE_PRODUCTION_TABLELIST[[#This Row],[テーブル名]],"(移行先)")</f>
        <v>検査実績(移行先)</v>
      </c>
    </row>
    <row r="10" spans="1:5" x14ac:dyDescent="0.15">
      <c r="A10">
        <f t="shared" si="0"/>
        <v>9</v>
      </c>
      <c r="B10" t="s">
        <v>377</v>
      </c>
      <c r="C10" t="str">
        <f>IF(ISNA( VLOOKUP(D10,旧テーブル一覧!$A$2:$B$332,2,FALSE)),"",VLOOKUP(D10,旧テーブル一覧!$A$2:$B$332,2,FALSE))</f>
        <v>測定実績</v>
      </c>
      <c r="D10" s="1" t="s">
        <v>364</v>
      </c>
      <c r="E10" t="str">
        <f>CONCATENATE( SOURCE_PRODUCTION_TABLELIST[[#This Row],[テーブル名]],"(移行先)")</f>
        <v>測定実績(移行先)</v>
      </c>
    </row>
    <row r="11" spans="1:5" x14ac:dyDescent="0.15">
      <c r="A11">
        <f t="shared" si="0"/>
        <v>10</v>
      </c>
      <c r="B11" t="s">
        <v>377</v>
      </c>
      <c r="C11" t="str">
        <f>IF(ISNA( VLOOKUP(D11,旧テーブル一覧!$A$2:$B$332,2,FALSE)),"",VLOOKUP(D11,旧テーブル一覧!$A$2:$B$332,2,FALSE))</f>
        <v>トレーサビリティ実績</v>
      </c>
      <c r="D11" s="1" t="s">
        <v>373</v>
      </c>
      <c r="E11" t="str">
        <f>CONCATENATE( SOURCE_PRODUCTION_TABLELIST[[#This Row],[テーブル名]],"(移行先)")</f>
        <v>トレーサビリティ実績(移行先)</v>
      </c>
    </row>
    <row r="12" spans="1:5" x14ac:dyDescent="0.15">
      <c r="D12" s="1"/>
    </row>
    <row r="13" spans="1:5" x14ac:dyDescent="0.15">
      <c r="D13" s="1"/>
    </row>
    <row r="14" spans="1:5" x14ac:dyDescent="0.15">
      <c r="D14" s="1"/>
    </row>
    <row r="15" spans="1:5" x14ac:dyDescent="0.15">
      <c r="D15" s="1"/>
    </row>
    <row r="16" spans="1:5" x14ac:dyDescent="0.15">
      <c r="D16" s="1"/>
    </row>
    <row r="17" spans="4:4" x14ac:dyDescent="0.15">
      <c r="D17" s="1"/>
    </row>
    <row r="18" spans="4:4" x14ac:dyDescent="0.15">
      <c r="D18" s="1"/>
    </row>
    <row r="19" spans="4:4" x14ac:dyDescent="0.15">
      <c r="D19" s="1"/>
    </row>
    <row r="20" spans="4:4" x14ac:dyDescent="0.15">
      <c r="D20" s="1"/>
    </row>
    <row r="21" spans="4:4" x14ac:dyDescent="0.15">
      <c r="D21" s="1"/>
    </row>
    <row r="22" spans="4:4" x14ac:dyDescent="0.15">
      <c r="D22" s="1"/>
    </row>
    <row r="23" spans="4:4" x14ac:dyDescent="0.15">
      <c r="D23" s="1"/>
    </row>
    <row r="24" spans="4:4" x14ac:dyDescent="0.15">
      <c r="D24" s="1"/>
    </row>
    <row r="25" spans="4:4" x14ac:dyDescent="0.15">
      <c r="D25" s="1"/>
    </row>
    <row r="26" spans="4:4" x14ac:dyDescent="0.15">
      <c r="D26" s="1"/>
    </row>
    <row r="27" spans="4:4" x14ac:dyDescent="0.15">
      <c r="D27" s="1"/>
    </row>
    <row r="28" spans="4:4" x14ac:dyDescent="0.15">
      <c r="D28" s="1"/>
    </row>
    <row r="29" spans="4:4" x14ac:dyDescent="0.15">
      <c r="D29" s="1"/>
    </row>
    <row r="30" spans="4:4" x14ac:dyDescent="0.15">
      <c r="D30" s="1"/>
    </row>
    <row r="31" spans="4:4" x14ac:dyDescent="0.15">
      <c r="D31" s="1"/>
    </row>
    <row r="32" spans="4:4" x14ac:dyDescent="0.15">
      <c r="D32" s="1"/>
    </row>
    <row r="33" spans="4:4" x14ac:dyDescent="0.15">
      <c r="D33" s="1"/>
    </row>
    <row r="34" spans="4:4" x14ac:dyDescent="0.15">
      <c r="D34" s="1"/>
    </row>
    <row r="35" spans="4:4" x14ac:dyDescent="0.15">
      <c r="D35" s="1"/>
    </row>
    <row r="36" spans="4:4" x14ac:dyDescent="0.15">
      <c r="D36" s="1"/>
    </row>
    <row r="37" spans="4:4" x14ac:dyDescent="0.15">
      <c r="D37" s="1"/>
    </row>
    <row r="38" spans="4:4" x14ac:dyDescent="0.15">
      <c r="D38" s="1"/>
    </row>
    <row r="39" spans="4:4" x14ac:dyDescent="0.15">
      <c r="D39" s="1"/>
    </row>
    <row r="40" spans="4:4" x14ac:dyDescent="0.15">
      <c r="D40" s="1"/>
    </row>
    <row r="41" spans="4:4" x14ac:dyDescent="0.15">
      <c r="D41" s="1"/>
    </row>
    <row r="42" spans="4:4" x14ac:dyDescent="0.15">
      <c r="D42" s="1"/>
    </row>
    <row r="43" spans="4:4" x14ac:dyDescent="0.15">
      <c r="D43" s="1"/>
    </row>
    <row r="44" spans="4:4" x14ac:dyDescent="0.15">
      <c r="D44" s="1"/>
    </row>
    <row r="45" spans="4:4" x14ac:dyDescent="0.15">
      <c r="D45" s="1"/>
    </row>
    <row r="46" spans="4:4" x14ac:dyDescent="0.15">
      <c r="D46" s="1"/>
    </row>
    <row r="47" spans="4:4" x14ac:dyDescent="0.15">
      <c r="D47" s="1"/>
    </row>
    <row r="48" spans="4:4" x14ac:dyDescent="0.15">
      <c r="D48" s="1"/>
    </row>
    <row r="49" spans="3:4" x14ac:dyDescent="0.15">
      <c r="D49" s="1"/>
    </row>
    <row r="50" spans="3:4" x14ac:dyDescent="0.15">
      <c r="C50" t="str">
        <f>IF(ISNA( VLOOKUP(D50,旧テーブル一覧!$A$2:$B$332,2,FALSE)),"",VLOOKUP(D50,旧テーブル一覧!$A$2:$B$332,2,FALSE))</f>
        <v/>
      </c>
      <c r="D50" s="1"/>
    </row>
    <row r="51" spans="3:4" x14ac:dyDescent="0.15">
      <c r="C51" t="str">
        <f>IF(ISNA( VLOOKUP(D51,旧テーブル一覧!$A$2:$B$332,2,FALSE)),"",VLOOKUP(D51,旧テーブル一覧!$A$2:$B$332,2,FALSE))</f>
        <v/>
      </c>
      <c r="D51" s="1"/>
    </row>
    <row r="52" spans="3:4" x14ac:dyDescent="0.15">
      <c r="C52" t="str">
        <f>IF(ISNA( VLOOKUP(D52,旧テーブル一覧!$A$2:$B$332,2,FALSE)),"",VLOOKUP(D52,旧テーブル一覧!$A$2:$B$332,2,FALSE))</f>
        <v/>
      </c>
      <c r="D52" s="1"/>
    </row>
    <row r="53" spans="3:4" x14ac:dyDescent="0.15">
      <c r="C53" t="str">
        <f>IF(ISNA( VLOOKUP(D53,旧テーブル一覧!$A$2:$B$332,2,FALSE)),"",VLOOKUP(D53,旧テーブル一覧!$A$2:$B$332,2,FALSE))</f>
        <v/>
      </c>
      <c r="D53" s="1"/>
    </row>
    <row r="54" spans="3:4" x14ac:dyDescent="0.15">
      <c r="C54" t="str">
        <f>IF(ISNA( VLOOKUP(D54,旧テーブル一覧!$A$2:$B$332,2,FALSE)),"",VLOOKUP(D54,旧テーブル一覧!$A$2:$B$332,2,FALSE))</f>
        <v/>
      </c>
      <c r="D54" s="1"/>
    </row>
    <row r="55" spans="3:4" x14ac:dyDescent="0.15">
      <c r="C55" t="str">
        <f>IF(ISNA( VLOOKUP(D55,旧テーブル一覧!$A$2:$B$332,2,FALSE)),"",VLOOKUP(D55,旧テーブル一覧!$A$2:$B$332,2,FALSE))</f>
        <v/>
      </c>
      <c r="D55" s="1"/>
    </row>
    <row r="56" spans="3:4" x14ac:dyDescent="0.15">
      <c r="C56" t="str">
        <f>IF(ISNA( VLOOKUP(D56,旧テーブル一覧!$A$2:$B$332,2,FALSE)),"",VLOOKUP(D56,旧テーブル一覧!$A$2:$B$332,2,FALSE))</f>
        <v/>
      </c>
      <c r="D56" s="1"/>
    </row>
    <row r="57" spans="3:4" x14ac:dyDescent="0.15">
      <c r="C57" t="str">
        <f>IF(ISNA( VLOOKUP(D57,旧テーブル一覧!$A$2:$B$332,2,FALSE)),"",VLOOKUP(D57,旧テーブル一覧!$A$2:$B$332,2,FALSE))</f>
        <v/>
      </c>
      <c r="D57" s="1"/>
    </row>
    <row r="58" spans="3:4" x14ac:dyDescent="0.15">
      <c r="C58" t="str">
        <f>IF(ISNA( VLOOKUP(D58,旧テーブル一覧!$A$2:$B$332,2,FALSE)),"",VLOOKUP(D58,旧テーブル一覧!$A$2:$B$332,2,FALSE))</f>
        <v/>
      </c>
      <c r="D58" s="1"/>
    </row>
    <row r="59" spans="3:4" x14ac:dyDescent="0.15">
      <c r="C59" t="str">
        <f>IF(ISNA( VLOOKUP(D59,旧テーブル一覧!$A$2:$B$332,2,FALSE)),"",VLOOKUP(D59,旧テーブル一覧!$A$2:$B$332,2,FALSE))</f>
        <v/>
      </c>
      <c r="D59" s="1"/>
    </row>
    <row r="60" spans="3:4" x14ac:dyDescent="0.15">
      <c r="C60" t="str">
        <f>IF(ISNA( VLOOKUP(D60,旧テーブル一覧!$A$2:$B$332,2,FALSE)),"",VLOOKUP(D60,旧テーブル一覧!$A$2:$B$332,2,FALSE))</f>
        <v/>
      </c>
      <c r="D60" s="1"/>
    </row>
    <row r="61" spans="3:4" x14ac:dyDescent="0.15">
      <c r="C61" t="str">
        <f>IF(ISNA( VLOOKUP(D61,旧テーブル一覧!$A$2:$B$332,2,FALSE)),"",VLOOKUP(D61,旧テーブル一覧!$A$2:$B$332,2,FALSE))</f>
        <v/>
      </c>
      <c r="D61" s="1"/>
    </row>
    <row r="62" spans="3:4" x14ac:dyDescent="0.15">
      <c r="C62" t="str">
        <f>IF(ISNA( VLOOKUP(D62,旧テーブル一覧!$A$2:$B$332,2,FALSE)),"",VLOOKUP(D62,旧テーブル一覧!$A$2:$B$332,2,FALSE))</f>
        <v/>
      </c>
      <c r="D62" s="1"/>
    </row>
    <row r="63" spans="3:4" x14ac:dyDescent="0.15">
      <c r="C63" t="str">
        <f>IF(ISNA( VLOOKUP(D63,旧テーブル一覧!$A$2:$B$332,2,FALSE)),"",VLOOKUP(D63,旧テーブル一覧!$A$2:$B$332,2,FALSE))</f>
        <v/>
      </c>
      <c r="D63" s="1"/>
    </row>
    <row r="64" spans="3:4" x14ac:dyDescent="0.15">
      <c r="C64" t="str">
        <f>IF(ISNA( VLOOKUP(D64,旧テーブル一覧!$A$2:$B$332,2,FALSE)),"",VLOOKUP(D64,旧テーブル一覧!$A$2:$B$332,2,FALSE))</f>
        <v/>
      </c>
      <c r="D64" s="1"/>
    </row>
    <row r="65" spans="3:4" x14ac:dyDescent="0.15">
      <c r="C65" t="str">
        <f>IF(ISNA( VLOOKUP(D65,旧テーブル一覧!$A$2:$B$332,2,FALSE)),"",VLOOKUP(D65,旧テーブル一覧!$A$2:$B$332,2,FALSE))</f>
        <v/>
      </c>
      <c r="D65" s="1"/>
    </row>
    <row r="66" spans="3:4" x14ac:dyDescent="0.15">
      <c r="C66" t="str">
        <f>IF(ISNA( VLOOKUP(D66,旧テーブル一覧!$A$2:$B$332,2,FALSE)),"",VLOOKUP(D66,旧テーブル一覧!$A$2:$B$332,2,FALSE))</f>
        <v/>
      </c>
      <c r="D66" s="1"/>
    </row>
    <row r="67" spans="3:4" x14ac:dyDescent="0.15">
      <c r="C67" t="str">
        <f>IF(ISNA( VLOOKUP(D67,旧テーブル一覧!$A$2:$B$332,2,FALSE)),"",VLOOKUP(D67,旧テーブル一覧!$A$2:$B$332,2,FALSE))</f>
        <v/>
      </c>
      <c r="D67" s="1"/>
    </row>
    <row r="68" spans="3:4" x14ac:dyDescent="0.15">
      <c r="C68" t="str">
        <f>IF(ISNA( VLOOKUP(D68,旧テーブル一覧!$A$2:$B$332,2,FALSE)),"",VLOOKUP(D68,旧テーブル一覧!$A$2:$B$332,2,FALSE))</f>
        <v/>
      </c>
      <c r="D68" s="1"/>
    </row>
    <row r="69" spans="3:4" x14ac:dyDescent="0.15">
      <c r="C69" t="str">
        <f>IF(ISNA( VLOOKUP(D69,旧テーブル一覧!$A$2:$B$332,2,FALSE)),"",VLOOKUP(D69,旧テーブル一覧!$A$2:$B$332,2,FALSE))</f>
        <v/>
      </c>
      <c r="D69" s="1"/>
    </row>
    <row r="70" spans="3:4" x14ac:dyDescent="0.15">
      <c r="C70" t="str">
        <f>IF(ISNA( VLOOKUP(D70,旧テーブル一覧!$A$2:$B$332,2,FALSE)),"",VLOOKUP(D70,旧テーブル一覧!$A$2:$B$332,2,FALSE))</f>
        <v/>
      </c>
      <c r="D70" s="1"/>
    </row>
    <row r="71" spans="3:4" x14ac:dyDescent="0.15">
      <c r="C71" t="str">
        <f>IF(ISNA( VLOOKUP(D71,旧テーブル一覧!$A$2:$B$332,2,FALSE)),"",VLOOKUP(D71,旧テーブル一覧!$A$2:$B$332,2,FALSE))</f>
        <v/>
      </c>
      <c r="D71" s="1"/>
    </row>
    <row r="72" spans="3:4" x14ac:dyDescent="0.15">
      <c r="C72" t="str">
        <f>IF(ISNA( VLOOKUP(D72,旧テーブル一覧!$A$2:$B$332,2,FALSE)),"",VLOOKUP(D72,旧テーブル一覧!$A$2:$B$332,2,FALSE))</f>
        <v/>
      </c>
      <c r="D72" s="1"/>
    </row>
    <row r="73" spans="3:4" x14ac:dyDescent="0.15">
      <c r="C73" t="str">
        <f>IF(ISNA( VLOOKUP(D73,旧テーブル一覧!$A$2:$B$332,2,FALSE)),"",VLOOKUP(D73,旧テーブル一覧!$A$2:$B$332,2,FALSE))</f>
        <v/>
      </c>
      <c r="D73" s="1"/>
    </row>
    <row r="74" spans="3:4" x14ac:dyDescent="0.15">
      <c r="C74" t="str">
        <f>IF(ISNA( VLOOKUP(D74,旧テーブル一覧!$A$2:$B$332,2,FALSE)),"",VLOOKUP(D74,旧テーブル一覧!$A$2:$B$332,2,FALSE))</f>
        <v/>
      </c>
      <c r="D74" s="1"/>
    </row>
    <row r="75" spans="3:4" x14ac:dyDescent="0.15">
      <c r="C75" t="str">
        <f>IF(ISNA( VLOOKUP(D75,旧テーブル一覧!$A$2:$B$332,2,FALSE)),"",VLOOKUP(D75,旧テーブル一覧!$A$2:$B$332,2,FALSE))</f>
        <v/>
      </c>
      <c r="D75" s="1"/>
    </row>
    <row r="76" spans="3:4" x14ac:dyDescent="0.15">
      <c r="C76" t="str">
        <f>IF(ISNA( VLOOKUP(D76,旧テーブル一覧!$A$2:$B$332,2,FALSE)),"",VLOOKUP(D76,旧テーブル一覧!$A$2:$B$332,2,FALSE))</f>
        <v/>
      </c>
      <c r="D76" s="1"/>
    </row>
    <row r="77" spans="3:4" x14ac:dyDescent="0.15">
      <c r="C77" t="str">
        <f>IF(ISNA( VLOOKUP(D77,旧テーブル一覧!$A$2:$B$332,2,FALSE)),"",VLOOKUP(D77,旧テーブル一覧!$A$2:$B$332,2,FALSE))</f>
        <v/>
      </c>
    </row>
    <row r="78" spans="3:4" x14ac:dyDescent="0.15">
      <c r="C78" t="str">
        <f>IF(ISNA( VLOOKUP(D78,旧テーブル一覧!$A$2:$B$332,2,FALSE)),"",VLOOKUP(D78,旧テーブル一覧!$A$2:$B$332,2,FALSE))</f>
        <v/>
      </c>
    </row>
    <row r="79" spans="3:4" x14ac:dyDescent="0.15">
      <c r="C79" t="str">
        <f>IF(ISNA( VLOOKUP(D79,旧テーブル一覧!$A$2:$B$332,2,FALSE)),"",VLOOKUP(D79,旧テーブル一覧!$A$2:$B$332,2,FALSE))</f>
        <v/>
      </c>
    </row>
    <row r="80" spans="3:4" x14ac:dyDescent="0.15">
      <c r="C80" t="str">
        <f>IF(ISNA( VLOOKUP(D80,旧テーブル一覧!$A$2:$B$332,2,FALSE)),"",VLOOKUP(D80,旧テーブル一覧!$A$2:$B$332,2,FALSE))</f>
        <v/>
      </c>
    </row>
    <row r="81" spans="3:3" x14ac:dyDescent="0.15">
      <c r="C81" t="str">
        <f>IF(ISNA( VLOOKUP(D81,旧テーブル一覧!$A$2:$B$332,2,FALSE)),"",VLOOKUP(D81,旧テーブル一覧!$A$2:$B$332,2,FALSE))</f>
        <v/>
      </c>
    </row>
    <row r="82" spans="3:3" x14ac:dyDescent="0.15">
      <c r="C82" t="str">
        <f>IF(ISNA( VLOOKUP(D82,旧テーブル一覧!$A$2:$B$332,2,FALSE)),"",VLOOKUP(D82,旧テーブル一覧!$A$2:$B$332,2,FALSE))</f>
        <v/>
      </c>
    </row>
    <row r="83" spans="3:3" x14ac:dyDescent="0.15">
      <c r="C83" t="str">
        <f>IF(ISNA( VLOOKUP(D83,旧テーブル一覧!$A$2:$B$332,2,FALSE)),"",VLOOKUP(D83,旧テーブル一覧!$A$2:$B$332,2,FALSE))</f>
        <v/>
      </c>
    </row>
    <row r="84" spans="3:3" x14ac:dyDescent="0.15">
      <c r="C84" t="str">
        <f>IF(ISNA( VLOOKUP(D84,旧テーブル一覧!$A$2:$B$332,2,FALSE)),"",VLOOKUP(D84,旧テーブル一覧!$A$2:$B$332,2,FALSE))</f>
        <v/>
      </c>
    </row>
    <row r="85" spans="3:3" x14ac:dyDescent="0.15">
      <c r="C85" t="str">
        <f>IF(ISNA( VLOOKUP(D85,旧テーブル一覧!$A$2:$B$332,2,FALSE)),"",VLOOKUP(D85,旧テーブル一覧!$A$2:$B$332,2,FALSE))</f>
        <v/>
      </c>
    </row>
    <row r="86" spans="3:3" x14ac:dyDescent="0.15">
      <c r="C86" t="str">
        <f>IF(ISNA( VLOOKUP(D86,旧テーブル一覧!$A$2:$B$332,2,FALSE)),"",VLOOKUP(D86,旧テーブル一覧!$A$2:$B$332,2,FALSE))</f>
        <v/>
      </c>
    </row>
    <row r="87" spans="3:3" x14ac:dyDescent="0.15">
      <c r="C87" t="str">
        <f>IF(ISNA( VLOOKUP(D87,旧テーブル一覧!$A$2:$B$332,2,FALSE)),"",VLOOKUP(D87,旧テーブル一覧!$A$2:$B$332,2,FALSE))</f>
        <v/>
      </c>
    </row>
    <row r="88" spans="3:3" x14ac:dyDescent="0.15">
      <c r="C88" t="str">
        <f>IF(ISNA( VLOOKUP(D88,旧テーブル一覧!$A$2:$B$332,2,FALSE)),"",VLOOKUP(D88,旧テーブル一覧!$A$2:$B$332,2,FALSE))</f>
        <v/>
      </c>
    </row>
    <row r="89" spans="3:3" x14ac:dyDescent="0.15">
      <c r="C89" t="str">
        <f>IF(ISNA( VLOOKUP(D89,旧テーブル一覧!$A$2:$B$332,2,FALSE)),"",VLOOKUP(D89,旧テーブル一覧!$A$2:$B$332,2,FALSE))</f>
        <v/>
      </c>
    </row>
    <row r="90" spans="3:3" x14ac:dyDescent="0.15">
      <c r="C90" t="str">
        <f>IF(ISNA( VLOOKUP(D90,旧テーブル一覧!$A$2:$B$332,2,FALSE)),"",VLOOKUP(D90,旧テーブル一覧!$A$2:$B$332,2,FALSE))</f>
        <v/>
      </c>
    </row>
    <row r="91" spans="3:3" x14ac:dyDescent="0.15">
      <c r="C91" t="str">
        <f>IF(ISNA( VLOOKUP(D91,旧テーブル一覧!$A$2:$B$332,2,FALSE)),"",VLOOKUP(D91,旧テーブル一覧!$A$2:$B$332,2,FALSE))</f>
        <v/>
      </c>
    </row>
    <row r="92" spans="3:3" x14ac:dyDescent="0.15">
      <c r="C92" t="str">
        <f>IF(ISNA( VLOOKUP(D92,旧テーブル一覧!$A$2:$B$332,2,FALSE)),"",VLOOKUP(D92,旧テーブル一覧!$A$2:$B$332,2,FALSE))</f>
        <v/>
      </c>
    </row>
    <row r="93" spans="3:3" x14ac:dyDescent="0.15">
      <c r="C93" t="str">
        <f>IF(ISNA( VLOOKUP(D93,旧テーブル一覧!$A$2:$B$332,2,FALSE)),"",VLOOKUP(D93,旧テーブル一覧!$A$2:$B$332,2,FALSE))</f>
        <v/>
      </c>
    </row>
    <row r="94" spans="3:3" x14ac:dyDescent="0.15">
      <c r="C94" t="str">
        <f>IF(ISNA( VLOOKUP(D94,旧テーブル一覧!$A$2:$B$332,2,FALSE)),"",VLOOKUP(D94,旧テーブル一覧!$A$2:$B$332,2,FALSE))</f>
        <v/>
      </c>
    </row>
    <row r="95" spans="3:3" x14ac:dyDescent="0.15">
      <c r="C95" t="str">
        <f>IF(ISNA( VLOOKUP(D95,旧テーブル一覧!$A$2:$B$332,2,FALSE)),"",VLOOKUP(D95,旧テーブル一覧!$A$2:$B$332,2,FALSE))</f>
        <v/>
      </c>
    </row>
    <row r="96" spans="3:3" x14ac:dyDescent="0.15">
      <c r="C96" t="str">
        <f>IF(ISNA( VLOOKUP(D96,旧テーブル一覧!$A$2:$B$332,2,FALSE)),"",VLOOKUP(D96,旧テーブル一覧!$A$2:$B$332,2,FALSE))</f>
        <v/>
      </c>
    </row>
    <row r="97" spans="3:3" x14ac:dyDescent="0.15">
      <c r="C97" t="str">
        <f>IF(ISNA( VLOOKUP(D97,旧テーブル一覧!$A$2:$B$332,2,FALSE)),"",VLOOKUP(D97,旧テーブル一覧!$A$2:$B$332,2,FALSE))</f>
        <v/>
      </c>
    </row>
    <row r="98" spans="3:3" x14ac:dyDescent="0.15">
      <c r="C98" t="str">
        <f>IF(ISNA( VLOOKUP(D98,旧テーブル一覧!$A$2:$B$332,2,FALSE)),"",VLOOKUP(D98,旧テーブル一覧!$A$2:$B$332,2,FALSE))</f>
        <v/>
      </c>
    </row>
    <row r="99" spans="3:3" x14ac:dyDescent="0.15">
      <c r="C99" t="str">
        <f>IF(ISNA( VLOOKUP(D99,旧テーブル一覧!$A$2:$B$332,2,FALSE)),"",VLOOKUP(D99,旧テーブル一覧!$A$2:$B$332,2,FALSE))</f>
        <v/>
      </c>
    </row>
    <row r="100" spans="3:3" x14ac:dyDescent="0.15">
      <c r="C100" t="str">
        <f>IF(ISNA( VLOOKUP(D100,旧テーブル一覧!$A$2:$B$332,2,FALSE)),"",VLOOKUP(D100,旧テーブル一覧!$A$2:$B$332,2,FALSE))</f>
        <v/>
      </c>
    </row>
    <row r="101" spans="3:3" x14ac:dyDescent="0.15">
      <c r="C101" t="str">
        <f>IF(ISNA( VLOOKUP(D101,旧テーブル一覧!$A$2:$B$332,2,FALSE)),"",VLOOKUP(D101,旧テーブル一覧!$A$2:$B$332,2,FALSE))</f>
        <v/>
      </c>
    </row>
    <row r="102" spans="3:3" x14ac:dyDescent="0.15">
      <c r="C102" t="str">
        <f>IF(ISNA( VLOOKUP(D102,旧テーブル一覧!$A$2:$B$332,2,FALSE)),"",VLOOKUP(D102,旧テーブル一覧!$A$2:$B$332,2,FALSE))</f>
        <v/>
      </c>
    </row>
    <row r="103" spans="3:3" x14ac:dyDescent="0.15">
      <c r="C103" t="str">
        <f>IF(ISNA( VLOOKUP(D103,旧テーブル一覧!$A$2:$B$332,2,FALSE)),"",VLOOKUP(D103,旧テーブル一覧!$A$2:$B$332,2,FALSE))</f>
        <v/>
      </c>
    </row>
    <row r="104" spans="3:3" x14ac:dyDescent="0.15">
      <c r="C104" t="str">
        <f>IF(ISNA( VLOOKUP(D104,旧テーブル一覧!$A$2:$B$332,2,FALSE)),"",VLOOKUP(D104,旧テーブル一覧!$A$2:$B$332,2,FALSE))</f>
        <v/>
      </c>
    </row>
    <row r="105" spans="3:3" x14ac:dyDescent="0.15">
      <c r="C105" t="str">
        <f>IF(ISNA( VLOOKUP(D105,旧テーブル一覧!$A$2:$B$332,2,FALSE)),"",VLOOKUP(D105,旧テーブル一覧!$A$2:$B$332,2,FALSE))</f>
        <v/>
      </c>
    </row>
    <row r="106" spans="3:3" x14ac:dyDescent="0.15">
      <c r="C106" t="str">
        <f>IF(ISNA( VLOOKUP(D106,旧テーブル一覧!$A$2:$B$332,2,FALSE)),"",VLOOKUP(D106,旧テーブル一覧!$A$2:$B$332,2,FALSE))</f>
        <v/>
      </c>
    </row>
    <row r="107" spans="3:3" x14ac:dyDescent="0.15">
      <c r="C107" t="str">
        <f>IF(ISNA( VLOOKUP(D107,旧テーブル一覧!$A$2:$B$332,2,FALSE)),"",VLOOKUP(D107,旧テーブル一覧!$A$2:$B$332,2,FALSE))</f>
        <v/>
      </c>
    </row>
    <row r="108" spans="3:3" x14ac:dyDescent="0.15">
      <c r="C108" t="str">
        <f>IF(ISNA( VLOOKUP(D108,旧テーブル一覧!$A$2:$B$332,2,FALSE)),"",VLOOKUP(D108,旧テーブル一覧!$A$2:$B$332,2,FALSE))</f>
        <v/>
      </c>
    </row>
    <row r="109" spans="3:3" x14ac:dyDescent="0.15">
      <c r="C109" t="str">
        <f>IF(ISNA( VLOOKUP(D109,旧テーブル一覧!$A$2:$B$332,2,FALSE)),"",VLOOKUP(D109,旧テーブル一覧!$A$2:$B$332,2,FALSE))</f>
        <v/>
      </c>
    </row>
    <row r="110" spans="3:3" x14ac:dyDescent="0.15">
      <c r="C110" t="str">
        <f>IF(ISNA( VLOOKUP(D110,旧テーブル一覧!$A$2:$B$332,2,FALSE)),"",VLOOKUP(D110,旧テーブル一覧!$A$2:$B$332,2,FALSE))</f>
        <v/>
      </c>
    </row>
    <row r="111" spans="3:3" x14ac:dyDescent="0.15">
      <c r="C111" t="str">
        <f>IF(ISNA( VLOOKUP(D111,旧テーブル一覧!$A$2:$B$332,2,FALSE)),"",VLOOKUP(D111,旧テーブル一覧!$A$2:$B$332,2,FALSE))</f>
        <v/>
      </c>
    </row>
    <row r="112" spans="3:3" x14ac:dyDescent="0.15">
      <c r="C112" t="str">
        <f>IF(ISNA( VLOOKUP(D112,旧テーブル一覧!$A$2:$B$332,2,FALSE)),"",VLOOKUP(D112,旧テーブル一覧!$A$2:$B$332,2,FALSE))</f>
        <v/>
      </c>
    </row>
    <row r="113" spans="3:3" x14ac:dyDescent="0.15">
      <c r="C113" t="str">
        <f>IF(ISNA( VLOOKUP(D113,旧テーブル一覧!$A$2:$B$332,2,FALSE)),"",VLOOKUP(D113,旧テーブル一覧!$A$2:$B$332,2,FALSE))</f>
        <v/>
      </c>
    </row>
    <row r="114" spans="3:3" x14ac:dyDescent="0.15">
      <c r="C114" t="str">
        <f>IF(ISNA( VLOOKUP(D114,旧テーブル一覧!$A$2:$B$332,2,FALSE)),"",VLOOKUP(D114,旧テーブル一覧!$A$2:$B$332,2,FALSE))</f>
        <v/>
      </c>
    </row>
    <row r="115" spans="3:3" x14ac:dyDescent="0.15">
      <c r="C115" t="str">
        <f>IF(ISNA( VLOOKUP(D115,旧テーブル一覧!$A$2:$B$332,2,FALSE)),"",VLOOKUP(D115,旧テーブル一覧!$A$2:$B$332,2,FALSE))</f>
        <v/>
      </c>
    </row>
    <row r="116" spans="3:3" x14ac:dyDescent="0.15">
      <c r="C116" t="str">
        <f>IF(ISNA( VLOOKUP(D116,旧テーブル一覧!$A$2:$B$332,2,FALSE)),"",VLOOKUP(D116,旧テーブル一覧!$A$2:$B$332,2,FALSE))</f>
        <v/>
      </c>
    </row>
    <row r="117" spans="3:3" x14ac:dyDescent="0.15">
      <c r="C117" t="str">
        <f>IF(ISNA( VLOOKUP(D117,旧テーブル一覧!$A$2:$B$332,2,FALSE)),"",VLOOKUP(D117,旧テーブル一覧!$A$2:$B$332,2,FALSE))</f>
        <v/>
      </c>
    </row>
    <row r="118" spans="3:3" x14ac:dyDescent="0.15">
      <c r="C118" t="str">
        <f>IF(ISNA( VLOOKUP(D118,旧テーブル一覧!$A$2:$B$332,2,FALSE)),"",VLOOKUP(D118,旧テーブル一覧!$A$2:$B$332,2,FALSE))</f>
        <v/>
      </c>
    </row>
    <row r="119" spans="3:3" x14ac:dyDescent="0.15">
      <c r="C119" t="str">
        <f>IF(ISNA( VLOOKUP(D119,旧テーブル一覧!$A$2:$B$332,2,FALSE)),"",VLOOKUP(D119,旧テーブル一覧!$A$2:$B$332,2,FALSE))</f>
        <v/>
      </c>
    </row>
    <row r="120" spans="3:3" x14ac:dyDescent="0.15">
      <c r="C120" t="str">
        <f>IF(ISNA( VLOOKUP(D120,旧テーブル一覧!$A$2:$B$332,2,FALSE)),"",VLOOKUP(D120,旧テーブル一覧!$A$2:$B$332,2,FALSE))</f>
        <v/>
      </c>
    </row>
    <row r="121" spans="3:3" x14ac:dyDescent="0.15">
      <c r="C121" t="str">
        <f>IF(ISNA( VLOOKUP(D121,旧テーブル一覧!$A$2:$B$332,2,FALSE)),"",VLOOKUP(D121,旧テーブル一覧!$A$2:$B$332,2,FALSE))</f>
        <v/>
      </c>
    </row>
    <row r="122" spans="3:3" x14ac:dyDescent="0.15">
      <c r="C122" t="str">
        <f>IF(ISNA( VLOOKUP(D122,旧テーブル一覧!$A$2:$B$332,2,FALSE)),"",VLOOKUP(D122,旧テーブル一覧!$A$2:$B$332,2,FALSE))</f>
        <v/>
      </c>
    </row>
    <row r="123" spans="3:3" x14ac:dyDescent="0.15">
      <c r="C123" t="str">
        <f>IF(ISNA( VLOOKUP(D123,旧テーブル一覧!$A$2:$B$332,2,FALSE)),"",VLOOKUP(D123,旧テーブル一覧!$A$2:$B$332,2,FALSE))</f>
        <v/>
      </c>
    </row>
    <row r="124" spans="3:3" x14ac:dyDescent="0.15">
      <c r="C124" t="str">
        <f>IF(ISNA( VLOOKUP(D124,旧テーブル一覧!$A$2:$B$332,2,FALSE)),"",VLOOKUP(D124,旧テーブル一覧!$A$2:$B$332,2,FALSE))</f>
        <v/>
      </c>
    </row>
    <row r="125" spans="3:3" x14ac:dyDescent="0.15">
      <c r="C125" t="str">
        <f>IF(ISNA( VLOOKUP(D125,旧テーブル一覧!$A$2:$B$332,2,FALSE)),"",VLOOKUP(D125,旧テーブル一覧!$A$2:$B$332,2,FALSE))</f>
        <v/>
      </c>
    </row>
    <row r="126" spans="3:3" x14ac:dyDescent="0.15">
      <c r="C126" t="str">
        <f>IF(ISNA( VLOOKUP(D126,旧テーブル一覧!$A$2:$B$332,2,FALSE)),"",VLOOKUP(D126,旧テーブル一覧!$A$2:$B$332,2,FALSE))</f>
        <v/>
      </c>
    </row>
    <row r="127" spans="3:3" x14ac:dyDescent="0.15">
      <c r="C127" t="str">
        <f>IF(ISNA( VLOOKUP(D127,旧テーブル一覧!$A$2:$B$332,2,FALSE)),"",VLOOKUP(D127,旧テーブル一覧!$A$2:$B$332,2,FALSE))</f>
        <v/>
      </c>
    </row>
    <row r="128" spans="3:3" x14ac:dyDescent="0.15">
      <c r="C128" t="str">
        <f>IF(ISNA( VLOOKUP(D128,旧テーブル一覧!$A$2:$B$332,2,FALSE)),"",VLOOKUP(D128,旧テーブル一覧!$A$2:$B$332,2,FALSE))</f>
        <v/>
      </c>
    </row>
    <row r="129" spans="3:3" x14ac:dyDescent="0.15">
      <c r="C129" t="str">
        <f>IF(ISNA( VLOOKUP(D129,旧テーブル一覧!$A$2:$B$332,2,FALSE)),"",VLOOKUP(D129,旧テーブル一覧!$A$2:$B$332,2,FALSE))</f>
        <v/>
      </c>
    </row>
    <row r="130" spans="3:3" x14ac:dyDescent="0.15">
      <c r="C130" t="str">
        <f>IF(ISNA( VLOOKUP(D130,旧テーブル一覧!$A$2:$B$332,2,FALSE)),"",VLOOKUP(D130,旧テーブル一覧!$A$2:$B$332,2,FALSE))</f>
        <v/>
      </c>
    </row>
    <row r="131" spans="3:3" x14ac:dyDescent="0.15">
      <c r="C131" t="str">
        <f>IF(ISNA( VLOOKUP(D131,旧テーブル一覧!$A$2:$B$332,2,FALSE)),"",VLOOKUP(D131,旧テーブル一覧!$A$2:$B$332,2,FALSE))</f>
        <v/>
      </c>
    </row>
    <row r="132" spans="3:3" x14ac:dyDescent="0.15">
      <c r="C132" t="str">
        <f>IF(ISNA( VLOOKUP(D132,旧テーブル一覧!$A$2:$B$332,2,FALSE)),"",VLOOKUP(D132,旧テーブル一覧!$A$2:$B$332,2,FALSE))</f>
        <v/>
      </c>
    </row>
    <row r="133" spans="3:3" x14ac:dyDescent="0.15">
      <c r="C133" t="str">
        <f>IF(ISNA( VLOOKUP(D133,旧テーブル一覧!$A$2:$B$332,2,FALSE)),"",VLOOKUP(D133,旧テーブル一覧!$A$2:$B$332,2,FALSE))</f>
        <v/>
      </c>
    </row>
    <row r="134" spans="3:3" x14ac:dyDescent="0.15">
      <c r="C134" t="str">
        <f>IF(ISNA( VLOOKUP(D134,旧テーブル一覧!$A$2:$B$332,2,FALSE)),"",VLOOKUP(D134,旧テーブル一覧!$A$2:$B$332,2,FALSE))</f>
        <v/>
      </c>
    </row>
    <row r="135" spans="3:3" x14ac:dyDescent="0.15">
      <c r="C135" t="str">
        <f>IF(ISNA( VLOOKUP(D135,旧テーブル一覧!$A$2:$B$332,2,FALSE)),"",VLOOKUP(D135,旧テーブル一覧!$A$2:$B$332,2,FALSE))</f>
        <v/>
      </c>
    </row>
    <row r="136" spans="3:3" x14ac:dyDescent="0.15">
      <c r="C136" t="str">
        <f>IF(ISNA( VLOOKUP(D136,旧テーブル一覧!$A$2:$B$332,2,FALSE)),"",VLOOKUP(D136,旧テーブル一覧!$A$2:$B$332,2,FALSE))</f>
        <v/>
      </c>
    </row>
    <row r="137" spans="3:3" x14ac:dyDescent="0.15">
      <c r="C137" t="str">
        <f>IF(ISNA( VLOOKUP(D137,旧テーブル一覧!$A$2:$B$332,2,FALSE)),"",VLOOKUP(D137,旧テーブル一覧!$A$2:$B$332,2,FALSE))</f>
        <v/>
      </c>
    </row>
    <row r="138" spans="3:3" x14ac:dyDescent="0.15">
      <c r="C138" t="str">
        <f>IF(ISNA( VLOOKUP(D138,旧テーブル一覧!$A$2:$B$332,2,FALSE)),"",VLOOKUP(D138,旧テーブル一覧!$A$2:$B$332,2,FALSE))</f>
        <v/>
      </c>
    </row>
    <row r="139" spans="3:3" x14ac:dyDescent="0.15">
      <c r="C139" t="str">
        <f>IF(ISNA( VLOOKUP(D139,旧テーブル一覧!$A$2:$B$332,2,FALSE)),"",VLOOKUP(D139,旧テーブル一覧!$A$2:$B$332,2,FALSE))</f>
        <v/>
      </c>
    </row>
    <row r="140" spans="3:3" x14ac:dyDescent="0.15">
      <c r="C140" t="str">
        <f>IF(ISNA( VLOOKUP(D140,旧テーブル一覧!$A$2:$B$332,2,FALSE)),"",VLOOKUP(D140,旧テーブル一覧!$A$2:$B$332,2,FALSE))</f>
        <v/>
      </c>
    </row>
    <row r="141" spans="3:3" x14ac:dyDescent="0.15">
      <c r="C141" t="str">
        <f>IF(ISNA( VLOOKUP(D141,旧テーブル一覧!$A$2:$B$332,2,FALSE)),"",VLOOKUP(D141,旧テーブル一覧!$A$2:$B$332,2,FALSE))</f>
        <v/>
      </c>
    </row>
    <row r="142" spans="3:3" x14ac:dyDescent="0.15">
      <c r="C142" t="str">
        <f>IF(ISNA( VLOOKUP(D142,旧テーブル一覧!$A$2:$B$332,2,FALSE)),"",VLOOKUP(D142,旧テーブル一覧!$A$2:$B$332,2,FALSE))</f>
        <v/>
      </c>
    </row>
    <row r="143" spans="3:3" x14ac:dyDescent="0.15">
      <c r="C143" t="str">
        <f>IF(ISNA( VLOOKUP(D143,旧テーブル一覧!$A$2:$B$332,2,FALSE)),"",VLOOKUP(D143,旧テーブル一覧!$A$2:$B$332,2,FALSE))</f>
        <v/>
      </c>
    </row>
    <row r="144" spans="3:3" x14ac:dyDescent="0.15">
      <c r="C144" t="str">
        <f>IF(ISNA( VLOOKUP(D144,旧テーブル一覧!$A$2:$B$332,2,FALSE)),"",VLOOKUP(D144,旧テーブル一覧!$A$2:$B$332,2,FALSE))</f>
        <v/>
      </c>
    </row>
    <row r="145" spans="3:3" x14ac:dyDescent="0.15">
      <c r="C145" t="str">
        <f>IF(ISNA( VLOOKUP(D145,旧テーブル一覧!$A$2:$B$332,2,FALSE)),"",VLOOKUP(D145,旧テーブル一覧!$A$2:$B$332,2,FALSE))</f>
        <v/>
      </c>
    </row>
    <row r="146" spans="3:3" x14ac:dyDescent="0.15">
      <c r="C146" t="str">
        <f>IF(ISNA( VLOOKUP(D146,旧テーブル一覧!$A$2:$B$332,2,FALSE)),"",VLOOKUP(D146,旧テーブル一覧!$A$2:$B$332,2,FALSE))</f>
        <v/>
      </c>
    </row>
    <row r="147" spans="3:3" x14ac:dyDescent="0.15">
      <c r="C147" t="str">
        <f>IF(ISNA( VLOOKUP(D147,旧テーブル一覧!$A$2:$B$332,2,FALSE)),"",VLOOKUP(D147,旧テーブル一覧!$A$2:$B$332,2,FALSE))</f>
        <v/>
      </c>
    </row>
    <row r="148" spans="3:3" x14ac:dyDescent="0.15">
      <c r="C148" t="str">
        <f>IF(ISNA( VLOOKUP(D148,旧テーブル一覧!$A$2:$B$332,2,FALSE)),"",VLOOKUP(D148,旧テーブル一覧!$A$2:$B$332,2,FALSE))</f>
        <v/>
      </c>
    </row>
    <row r="149" spans="3:3" x14ac:dyDescent="0.15">
      <c r="C149" t="str">
        <f>IF(ISNA( VLOOKUP(D149,旧テーブル一覧!$A$2:$B$332,2,FALSE)),"",VLOOKUP(D149,旧テーブル一覧!$A$2:$B$332,2,FALSE))</f>
        <v/>
      </c>
    </row>
    <row r="150" spans="3:3" x14ac:dyDescent="0.15">
      <c r="C150" t="str">
        <f>IF(ISNA( VLOOKUP(D150,旧テーブル一覧!$A$2:$B$332,2,FALSE)),"",VLOOKUP(D150,旧テーブル一覧!$A$2:$B$332,2,FALSE))</f>
        <v/>
      </c>
    </row>
    <row r="151" spans="3:3" x14ac:dyDescent="0.15">
      <c r="C151" t="str">
        <f>IF(ISNA( VLOOKUP(D151,旧テーブル一覧!$A$2:$B$332,2,FALSE)),"",VLOOKUP(D151,旧テーブル一覧!$A$2:$B$332,2,FALSE))</f>
        <v/>
      </c>
    </row>
    <row r="152" spans="3:3" x14ac:dyDescent="0.15">
      <c r="C152" t="str">
        <f>IF(ISNA( VLOOKUP(D152,旧テーブル一覧!$A$2:$B$332,2,FALSE)),"",VLOOKUP(D152,旧テーブル一覧!$A$2:$B$332,2,FALSE))</f>
        <v/>
      </c>
    </row>
    <row r="153" spans="3:3" x14ac:dyDescent="0.15">
      <c r="C153" t="str">
        <f>IF(ISNA( VLOOKUP(D153,旧テーブル一覧!$A$2:$B$332,2,FALSE)),"",VLOOKUP(D153,旧テーブル一覧!$A$2:$B$332,2,FALSE))</f>
        <v/>
      </c>
    </row>
    <row r="154" spans="3:3" x14ac:dyDescent="0.15">
      <c r="C154" t="str">
        <f>IF(ISNA( VLOOKUP(D154,旧テーブル一覧!$A$2:$B$332,2,FALSE)),"",VLOOKUP(D154,旧テーブル一覧!$A$2:$B$332,2,FALSE))</f>
        <v/>
      </c>
    </row>
    <row r="155" spans="3:3" x14ac:dyDescent="0.15">
      <c r="C155" t="str">
        <f>IF(ISNA( VLOOKUP(D155,旧テーブル一覧!$A$2:$B$332,2,FALSE)),"",VLOOKUP(D155,旧テーブル一覧!$A$2:$B$332,2,FALSE))</f>
        <v/>
      </c>
    </row>
    <row r="156" spans="3:3" x14ac:dyDescent="0.15">
      <c r="C156" t="str">
        <f>IF(ISNA( VLOOKUP(D156,旧テーブル一覧!$A$2:$B$332,2,FALSE)),"",VLOOKUP(D156,旧テーブル一覧!$A$2:$B$332,2,FALSE))</f>
        <v/>
      </c>
    </row>
    <row r="157" spans="3:3" x14ac:dyDescent="0.15">
      <c r="C157" t="str">
        <f>IF(ISNA( VLOOKUP(D157,旧テーブル一覧!$A$2:$B$332,2,FALSE)),"",VLOOKUP(D157,旧テーブル一覧!$A$2:$B$332,2,FALSE))</f>
        <v/>
      </c>
    </row>
    <row r="158" spans="3:3" x14ac:dyDescent="0.15">
      <c r="C158" t="str">
        <f>IF(ISNA( VLOOKUP(D158,旧テーブル一覧!$A$2:$B$332,2,FALSE)),"",VLOOKUP(D158,旧テーブル一覧!$A$2:$B$332,2,FALSE))</f>
        <v/>
      </c>
    </row>
    <row r="159" spans="3:3" x14ac:dyDescent="0.15">
      <c r="C159" t="str">
        <f>IF(ISNA( VLOOKUP(D159,旧テーブル一覧!$A$2:$B$332,2,FALSE)),"",VLOOKUP(D159,旧テーブル一覧!$A$2:$B$332,2,FALSE))</f>
        <v/>
      </c>
    </row>
    <row r="160" spans="3:3" x14ac:dyDescent="0.15">
      <c r="C160" t="str">
        <f>IF(ISNA( VLOOKUP(D160,旧テーブル一覧!$A$2:$B$332,2,FALSE)),"",VLOOKUP(D160,旧テーブル一覧!$A$2:$B$332,2,FALSE))</f>
        <v/>
      </c>
    </row>
    <row r="161" spans="3:3" x14ac:dyDescent="0.15">
      <c r="C161" t="str">
        <f>IF(ISNA( VLOOKUP(D161,旧テーブル一覧!$A$2:$B$332,2,FALSE)),"",VLOOKUP(D161,旧テーブル一覧!$A$2:$B$332,2,FALSE))</f>
        <v/>
      </c>
    </row>
    <row r="162" spans="3:3" x14ac:dyDescent="0.15">
      <c r="C162" t="str">
        <f>IF(ISNA( VLOOKUP(D162,旧テーブル一覧!$A$2:$B$332,2,FALSE)),"",VLOOKUP(D162,旧テーブル一覧!$A$2:$B$332,2,FALSE))</f>
        <v/>
      </c>
    </row>
    <row r="163" spans="3:3" x14ac:dyDescent="0.15">
      <c r="C163" t="str">
        <f>IF(ISNA( VLOOKUP(D163,旧テーブル一覧!$A$2:$B$332,2,FALSE)),"",VLOOKUP(D163,旧テーブル一覧!$A$2:$B$332,2,FALSE))</f>
        <v/>
      </c>
    </row>
    <row r="164" spans="3:3" x14ac:dyDescent="0.15">
      <c r="C164" t="str">
        <f>IF(ISNA( VLOOKUP(D164,旧テーブル一覧!$A$2:$B$332,2,FALSE)),"",VLOOKUP(D164,旧テーブル一覧!$A$2:$B$332,2,FALSE))</f>
        <v/>
      </c>
    </row>
    <row r="165" spans="3:3" x14ac:dyDescent="0.15">
      <c r="C165" t="str">
        <f>IF(ISNA( VLOOKUP(D165,旧テーブル一覧!$A$2:$B$332,2,FALSE)),"",VLOOKUP(D165,旧テーブル一覧!$A$2:$B$332,2,FALSE))</f>
        <v/>
      </c>
    </row>
    <row r="166" spans="3:3" x14ac:dyDescent="0.15">
      <c r="C166" t="str">
        <f>IF(ISNA( VLOOKUP(D166,旧テーブル一覧!$A$2:$B$332,2,FALSE)),"",VLOOKUP(D166,旧テーブル一覧!$A$2:$B$332,2,FALSE))</f>
        <v/>
      </c>
    </row>
    <row r="167" spans="3:3" x14ac:dyDescent="0.15">
      <c r="C167" t="str">
        <f>IF(ISNA( VLOOKUP(D167,旧テーブル一覧!$A$2:$B$332,2,FALSE)),"",VLOOKUP(D167,旧テーブル一覧!$A$2:$B$332,2,FALSE))</f>
        <v/>
      </c>
    </row>
    <row r="168" spans="3:3" x14ac:dyDescent="0.15">
      <c r="C168" t="str">
        <f>IF(ISNA( VLOOKUP(D168,旧テーブル一覧!$A$2:$B$332,2,FALSE)),"",VLOOKUP(D168,旧テーブル一覧!$A$2:$B$332,2,FALSE))</f>
        <v/>
      </c>
    </row>
    <row r="169" spans="3:3" x14ac:dyDescent="0.15">
      <c r="C169" t="str">
        <f>IF(ISNA( VLOOKUP(D169,旧テーブル一覧!$A$2:$B$332,2,FALSE)),"",VLOOKUP(D169,旧テーブル一覧!$A$2:$B$332,2,FALSE))</f>
        <v/>
      </c>
    </row>
    <row r="170" spans="3:3" x14ac:dyDescent="0.15">
      <c r="C170" t="str">
        <f>IF(ISNA( VLOOKUP(D170,旧テーブル一覧!$A$2:$B$332,2,FALSE)),"",VLOOKUP(D170,旧テーブル一覧!$A$2:$B$332,2,FALSE))</f>
        <v/>
      </c>
    </row>
    <row r="171" spans="3:3" x14ac:dyDescent="0.15">
      <c r="C171" t="str">
        <f>IF(ISNA( VLOOKUP(D171,旧テーブル一覧!$A$2:$B$332,2,FALSE)),"",VLOOKUP(D171,旧テーブル一覧!$A$2:$B$332,2,FALSE))</f>
        <v/>
      </c>
    </row>
    <row r="172" spans="3:3" x14ac:dyDescent="0.15">
      <c r="C172" t="str">
        <f>IF(ISNA( VLOOKUP(D172,旧テーブル一覧!$A$2:$B$332,2,FALSE)),"",VLOOKUP(D172,旧テーブル一覧!$A$2:$B$332,2,FALSE))</f>
        <v/>
      </c>
    </row>
    <row r="173" spans="3:3" x14ac:dyDescent="0.15">
      <c r="C173" t="str">
        <f>IF(ISNA( VLOOKUP(D173,旧テーブル一覧!$A$2:$B$332,2,FALSE)),"",VLOOKUP(D173,旧テーブル一覧!$A$2:$B$332,2,FALSE))</f>
        <v/>
      </c>
    </row>
    <row r="174" spans="3:3" x14ac:dyDescent="0.15">
      <c r="C174" t="str">
        <f>IF(ISNA( VLOOKUP(D174,旧テーブル一覧!$A$2:$B$332,2,FALSE)),"",VLOOKUP(D174,旧テーブル一覧!$A$2:$B$332,2,FALSE))</f>
        <v/>
      </c>
    </row>
    <row r="175" spans="3:3" x14ac:dyDescent="0.15">
      <c r="C175" t="str">
        <f>IF(ISNA( VLOOKUP(D175,旧テーブル一覧!$A$2:$B$332,2,FALSE)),"",VLOOKUP(D175,旧テーブル一覧!$A$2:$B$332,2,FALSE))</f>
        <v/>
      </c>
    </row>
    <row r="176" spans="3:3" x14ac:dyDescent="0.15">
      <c r="C176" t="str">
        <f>IF(ISNA( VLOOKUP(D176,旧テーブル一覧!$A$2:$B$332,2,FALSE)),"",VLOOKUP(D176,旧テーブル一覧!$A$2:$B$332,2,FALSE))</f>
        <v/>
      </c>
    </row>
    <row r="177" spans="3:3" x14ac:dyDescent="0.15">
      <c r="C177" t="str">
        <f>IF(ISNA( VLOOKUP(D177,旧テーブル一覧!$A$2:$B$332,2,FALSE)),"",VLOOKUP(D177,旧テーブル一覧!$A$2:$B$332,2,FALSE))</f>
        <v/>
      </c>
    </row>
    <row r="178" spans="3:3" x14ac:dyDescent="0.15">
      <c r="C178" t="str">
        <f>IF(ISNA( VLOOKUP(D178,旧テーブル一覧!$A$2:$B$332,2,FALSE)),"",VLOOKUP(D178,旧テーブル一覧!$A$2:$B$332,2,FALSE))</f>
        <v/>
      </c>
    </row>
    <row r="179" spans="3:3" x14ac:dyDescent="0.15">
      <c r="C179" t="str">
        <f>IF(ISNA( VLOOKUP(D179,旧テーブル一覧!$A$2:$B$332,2,FALSE)),"",VLOOKUP(D179,旧テーブル一覧!$A$2:$B$332,2,FALSE))</f>
        <v/>
      </c>
    </row>
    <row r="180" spans="3:3" x14ac:dyDescent="0.15">
      <c r="C180" t="str">
        <f>IF(ISNA( VLOOKUP(D180,旧テーブル一覧!$A$2:$B$332,2,FALSE)),"",VLOOKUP(D180,旧テーブル一覧!$A$2:$B$332,2,FALSE))</f>
        <v/>
      </c>
    </row>
    <row r="181" spans="3:3" x14ac:dyDescent="0.15">
      <c r="C181" t="str">
        <f>IF(ISNA( VLOOKUP(D181,旧テーブル一覧!$A$2:$B$332,2,FALSE)),"",VLOOKUP(D181,旧テーブル一覧!$A$2:$B$332,2,FALSE))</f>
        <v/>
      </c>
    </row>
    <row r="182" spans="3:3" x14ac:dyDescent="0.15">
      <c r="C182" t="str">
        <f>IF(ISNA( VLOOKUP(D182,旧テーブル一覧!$A$2:$B$332,2,FALSE)),"",VLOOKUP(D182,旧テーブル一覧!$A$2:$B$332,2,FALSE))</f>
        <v/>
      </c>
    </row>
    <row r="183" spans="3:3" x14ac:dyDescent="0.15">
      <c r="C183" t="str">
        <f>IF(ISNA( VLOOKUP(D183,旧テーブル一覧!$A$2:$B$332,2,FALSE)),"",VLOOKUP(D183,旧テーブル一覧!$A$2:$B$332,2,FALSE))</f>
        <v/>
      </c>
    </row>
    <row r="184" spans="3:3" x14ac:dyDescent="0.15">
      <c r="C184" t="str">
        <f>IF(ISNA( VLOOKUP(D184,旧テーブル一覧!$A$2:$B$332,2,FALSE)),"",VLOOKUP(D184,旧テーブル一覧!$A$2:$B$332,2,FALSE))</f>
        <v/>
      </c>
    </row>
    <row r="185" spans="3:3" x14ac:dyDescent="0.15">
      <c r="C185" t="str">
        <f>IF(ISNA( VLOOKUP(D185,旧テーブル一覧!$A$2:$B$332,2,FALSE)),"",VLOOKUP(D185,旧テーブル一覧!$A$2:$B$332,2,FALSE))</f>
        <v/>
      </c>
    </row>
    <row r="186" spans="3:3" x14ac:dyDescent="0.15">
      <c r="C186" t="str">
        <f>IF(ISNA( VLOOKUP(D186,旧テーブル一覧!$A$2:$B$332,2,FALSE)),"",VLOOKUP(D186,旧テーブル一覧!$A$2:$B$332,2,FALSE))</f>
        <v/>
      </c>
    </row>
    <row r="187" spans="3:3" x14ac:dyDescent="0.15">
      <c r="C187" t="str">
        <f>IF(ISNA( VLOOKUP(D187,旧テーブル一覧!$A$2:$B$332,2,FALSE)),"",VLOOKUP(D187,旧テーブル一覧!$A$2:$B$332,2,FALSE))</f>
        <v/>
      </c>
    </row>
    <row r="188" spans="3:3" x14ac:dyDescent="0.15">
      <c r="C188" t="str">
        <f>IF(ISNA( VLOOKUP(D188,旧テーブル一覧!$A$2:$B$332,2,FALSE)),"",VLOOKUP(D188,旧テーブル一覧!$A$2:$B$332,2,FALSE))</f>
        <v/>
      </c>
    </row>
    <row r="189" spans="3:3" x14ac:dyDescent="0.15">
      <c r="C189" t="str">
        <f>IF(ISNA( VLOOKUP(D189,旧テーブル一覧!$A$2:$B$332,2,FALSE)),"",VLOOKUP(D189,旧テーブル一覧!$A$2:$B$332,2,FALSE))</f>
        <v/>
      </c>
    </row>
    <row r="190" spans="3:3" x14ac:dyDescent="0.15">
      <c r="C190" t="str">
        <f>IF(ISNA( VLOOKUP(D190,旧テーブル一覧!$A$2:$B$332,2,FALSE)),"",VLOOKUP(D190,旧テーブル一覧!$A$2:$B$332,2,FALSE))</f>
        <v/>
      </c>
    </row>
    <row r="191" spans="3:3" x14ac:dyDescent="0.15">
      <c r="C191" t="str">
        <f>IF(ISNA( VLOOKUP(D191,旧テーブル一覧!$A$2:$B$332,2,FALSE)),"",VLOOKUP(D191,旧テーブル一覧!$A$2:$B$332,2,FALSE))</f>
        <v/>
      </c>
    </row>
    <row r="192" spans="3:3" x14ac:dyDescent="0.15">
      <c r="C192" t="str">
        <f>IF(ISNA( VLOOKUP(D192,旧テーブル一覧!$A$2:$B$332,2,FALSE)),"",VLOOKUP(D192,旧テーブル一覧!$A$2:$B$332,2,FALSE))</f>
        <v/>
      </c>
    </row>
    <row r="193" spans="3:3" x14ac:dyDescent="0.15">
      <c r="C193" t="str">
        <f>IF(ISNA( VLOOKUP(D193,旧テーブル一覧!$A$2:$B$332,2,FALSE)),"",VLOOKUP(D193,旧テーブル一覧!$A$2:$B$332,2,FALSE))</f>
        <v/>
      </c>
    </row>
    <row r="194" spans="3:3" x14ac:dyDescent="0.15">
      <c r="C194" t="str">
        <f>IF(ISNA( VLOOKUP(D194,旧テーブル一覧!$A$2:$B$332,2,FALSE)),"",VLOOKUP(D194,旧テーブル一覧!$A$2:$B$332,2,FALSE))</f>
        <v/>
      </c>
    </row>
    <row r="195" spans="3:3" x14ac:dyDescent="0.15">
      <c r="C195" t="str">
        <f>IF(ISNA( VLOOKUP(D195,旧テーブル一覧!$A$2:$B$332,2,FALSE)),"",VLOOKUP(D195,旧テーブル一覧!$A$2:$B$332,2,FALSE))</f>
        <v/>
      </c>
    </row>
    <row r="196" spans="3:3" x14ac:dyDescent="0.15">
      <c r="C196" t="str">
        <f>IF(ISNA( VLOOKUP(D196,旧テーブル一覧!$A$2:$B$332,2,FALSE)),"",VLOOKUP(D196,旧テーブル一覧!$A$2:$B$332,2,FALSE))</f>
        <v/>
      </c>
    </row>
    <row r="197" spans="3:3" x14ac:dyDescent="0.15">
      <c r="C197" t="str">
        <f>IF(ISNA( VLOOKUP(D197,旧テーブル一覧!$A$2:$B$332,2,FALSE)),"",VLOOKUP(D197,旧テーブル一覧!$A$2:$B$332,2,FALSE))</f>
        <v/>
      </c>
    </row>
    <row r="198" spans="3:3" x14ac:dyDescent="0.15">
      <c r="C198" t="str">
        <f>IF(ISNA( VLOOKUP(D198,旧テーブル一覧!$A$2:$B$332,2,FALSE)),"",VLOOKUP(D198,旧テーブル一覧!$A$2:$B$332,2,FALSE))</f>
        <v/>
      </c>
    </row>
    <row r="199" spans="3:3" x14ac:dyDescent="0.15">
      <c r="C199" t="str">
        <f>IF(ISNA( VLOOKUP(D199,旧テーブル一覧!$A$2:$B$332,2,FALSE)),"",VLOOKUP(D199,旧テーブル一覧!$A$2:$B$332,2,FALSE))</f>
        <v/>
      </c>
    </row>
    <row r="200" spans="3:3" x14ac:dyDescent="0.15">
      <c r="C200" t="str">
        <f>IF(ISNA( VLOOKUP(D200,旧テーブル一覧!$A$2:$B$332,2,FALSE)),"",VLOOKUP(D200,旧テーブル一覧!$A$2:$B$332,2,FALSE))</f>
        <v/>
      </c>
    </row>
    <row r="201" spans="3:3" x14ac:dyDescent="0.15">
      <c r="C201" t="str">
        <f>IF(ISNA( VLOOKUP(D201,旧テーブル一覧!$A$2:$B$332,2,FALSE)),"",VLOOKUP(D201,旧テーブル一覧!$A$2:$B$332,2,FALSE))</f>
        <v/>
      </c>
    </row>
    <row r="202" spans="3:3" x14ac:dyDescent="0.15">
      <c r="C202" t="str">
        <f>IF(ISNA( VLOOKUP(D202,旧テーブル一覧!$A$2:$B$332,2,FALSE)),"",VLOOKUP(D202,旧テーブル一覧!$A$2:$B$332,2,FALSE))</f>
        <v/>
      </c>
    </row>
    <row r="203" spans="3:3" x14ac:dyDescent="0.15">
      <c r="C203" t="str">
        <f>IF(ISNA( VLOOKUP(D203,旧テーブル一覧!$A$2:$B$332,2,FALSE)),"",VLOOKUP(D203,旧テーブル一覧!$A$2:$B$332,2,FALSE))</f>
        <v/>
      </c>
    </row>
    <row r="204" spans="3:3" x14ac:dyDescent="0.15">
      <c r="C204" t="str">
        <f>IF(ISNA( VLOOKUP(D204,旧テーブル一覧!$A$2:$B$332,2,FALSE)),"",VLOOKUP(D204,旧テーブル一覧!$A$2:$B$332,2,FALSE))</f>
        <v/>
      </c>
    </row>
    <row r="205" spans="3:3" x14ac:dyDescent="0.15">
      <c r="C205" t="str">
        <f>IF(ISNA( VLOOKUP(D205,旧テーブル一覧!$A$2:$B$332,2,FALSE)),"",VLOOKUP(D205,旧テーブル一覧!$A$2:$B$332,2,FALSE))</f>
        <v/>
      </c>
    </row>
    <row r="206" spans="3:3" x14ac:dyDescent="0.15">
      <c r="C206" t="str">
        <f>IF(ISNA( VLOOKUP(D206,旧テーブル一覧!$A$2:$B$332,2,FALSE)),"",VLOOKUP(D206,旧テーブル一覧!$A$2:$B$332,2,FALSE))</f>
        <v/>
      </c>
    </row>
    <row r="207" spans="3:3" x14ac:dyDescent="0.15">
      <c r="C207" t="str">
        <f>IF(ISNA( VLOOKUP(D207,旧テーブル一覧!$A$2:$B$332,2,FALSE)),"",VLOOKUP(D207,旧テーブル一覧!$A$2:$B$332,2,FALSE))</f>
        <v/>
      </c>
    </row>
    <row r="208" spans="3:3" x14ac:dyDescent="0.15">
      <c r="C208" t="str">
        <f>IF(ISNA( VLOOKUP(D208,旧テーブル一覧!$A$2:$B$332,2,FALSE)),"",VLOOKUP(D208,旧テーブル一覧!$A$2:$B$332,2,FALSE))</f>
        <v/>
      </c>
    </row>
    <row r="209" spans="3:3" x14ac:dyDescent="0.15">
      <c r="C209" t="str">
        <f>IF(ISNA( VLOOKUP(D209,旧テーブル一覧!$A$2:$B$332,2,FALSE)),"",VLOOKUP(D209,旧テーブル一覧!$A$2:$B$332,2,FALSE))</f>
        <v/>
      </c>
    </row>
    <row r="210" spans="3:3" x14ac:dyDescent="0.15">
      <c r="C210" t="str">
        <f>IF(ISNA( VLOOKUP(D210,旧テーブル一覧!$A$2:$B$332,2,FALSE)),"",VLOOKUP(D210,旧テーブル一覧!$A$2:$B$332,2,FALSE))</f>
        <v/>
      </c>
    </row>
    <row r="211" spans="3:3" x14ac:dyDescent="0.15">
      <c r="C211" t="str">
        <f>IF(ISNA( VLOOKUP(D211,旧テーブル一覧!$A$2:$B$332,2,FALSE)),"",VLOOKUP(D211,旧テーブル一覧!$A$2:$B$332,2,FALSE))</f>
        <v/>
      </c>
    </row>
    <row r="212" spans="3:3" x14ac:dyDescent="0.15">
      <c r="C212" t="str">
        <f>IF(ISNA( VLOOKUP(D212,旧テーブル一覧!$A$2:$B$332,2,FALSE)),"",VLOOKUP(D212,旧テーブル一覧!$A$2:$B$332,2,FALSE))</f>
        <v/>
      </c>
    </row>
    <row r="213" spans="3:3" x14ac:dyDescent="0.15">
      <c r="C213" t="str">
        <f>IF(ISNA( VLOOKUP(D213,旧テーブル一覧!$A$2:$B$332,2,FALSE)),"",VLOOKUP(D213,旧テーブル一覧!$A$2:$B$332,2,FALSE))</f>
        <v/>
      </c>
    </row>
    <row r="214" spans="3:3" x14ac:dyDescent="0.15">
      <c r="C214" t="str">
        <f>IF(ISNA( VLOOKUP(D214,旧テーブル一覧!$A$2:$B$332,2,FALSE)),"",VLOOKUP(D214,旧テーブル一覧!$A$2:$B$332,2,FALSE))</f>
        <v/>
      </c>
    </row>
    <row r="215" spans="3:3" x14ac:dyDescent="0.15">
      <c r="C215" t="str">
        <f>IF(ISNA( VLOOKUP(D215,旧テーブル一覧!$A$2:$B$332,2,FALSE)),"",VLOOKUP(D215,旧テーブル一覧!$A$2:$B$332,2,FALSE))</f>
        <v/>
      </c>
    </row>
    <row r="216" spans="3:3" x14ac:dyDescent="0.15">
      <c r="C216" t="str">
        <f>IF(ISNA( VLOOKUP(D216,旧テーブル一覧!$A$2:$B$332,2,FALSE)),"",VLOOKUP(D216,旧テーブル一覧!$A$2:$B$332,2,FALSE))</f>
        <v/>
      </c>
    </row>
    <row r="217" spans="3:3" x14ac:dyDescent="0.15">
      <c r="C217" t="str">
        <f>IF(ISNA( VLOOKUP(D217,旧テーブル一覧!$A$2:$B$332,2,FALSE)),"",VLOOKUP(D217,旧テーブル一覧!$A$2:$B$332,2,FALSE))</f>
        <v/>
      </c>
    </row>
    <row r="218" spans="3:3" x14ac:dyDescent="0.15">
      <c r="C218" t="str">
        <f>IF(ISNA( VLOOKUP(D218,旧テーブル一覧!$A$2:$B$332,2,FALSE)),"",VLOOKUP(D218,旧テーブル一覧!$A$2:$B$332,2,FALSE))</f>
        <v/>
      </c>
    </row>
    <row r="219" spans="3:3" x14ac:dyDescent="0.15">
      <c r="C219" t="str">
        <f>IF(ISNA( VLOOKUP(D219,旧テーブル一覧!$A$2:$B$332,2,FALSE)),"",VLOOKUP(D219,旧テーブル一覧!$A$2:$B$332,2,FALSE))</f>
        <v/>
      </c>
    </row>
    <row r="220" spans="3:3" x14ac:dyDescent="0.15">
      <c r="C220" t="str">
        <f>IF(ISNA( VLOOKUP(D220,旧テーブル一覧!$A$2:$B$332,2,FALSE)),"",VLOOKUP(D220,旧テーブル一覧!$A$2:$B$332,2,FALSE))</f>
        <v/>
      </c>
    </row>
    <row r="221" spans="3:3" x14ac:dyDescent="0.15">
      <c r="C221" t="str">
        <f>IF(ISNA( VLOOKUP(D221,旧テーブル一覧!$A$2:$B$332,2,FALSE)),"",VLOOKUP(D221,旧テーブル一覧!$A$2:$B$332,2,FALSE))</f>
        <v/>
      </c>
    </row>
    <row r="222" spans="3:3" x14ac:dyDescent="0.15">
      <c r="C222" t="str">
        <f>IF(ISNA( VLOOKUP(D222,旧テーブル一覧!$A$2:$B$332,2,FALSE)),"",VLOOKUP(D222,旧テーブル一覧!$A$2:$B$332,2,FALSE))</f>
        <v/>
      </c>
    </row>
    <row r="223" spans="3:3" x14ac:dyDescent="0.15">
      <c r="C223" t="str">
        <f>IF(ISNA( VLOOKUP(D223,旧テーブル一覧!$A$2:$B$332,2,FALSE)),"",VLOOKUP(D223,旧テーブル一覧!$A$2:$B$332,2,FALSE))</f>
        <v/>
      </c>
    </row>
    <row r="224" spans="3:3" x14ac:dyDescent="0.15">
      <c r="C224" t="str">
        <f>IF(ISNA( VLOOKUP(D224,旧テーブル一覧!$A$2:$B$332,2,FALSE)),"",VLOOKUP(D224,旧テーブル一覧!$A$2:$B$332,2,FALSE))</f>
        <v/>
      </c>
    </row>
    <row r="225" spans="3:3" x14ac:dyDescent="0.15">
      <c r="C225" t="str">
        <f>IF(ISNA( VLOOKUP(D225,旧テーブル一覧!$A$2:$B$332,2,FALSE)),"",VLOOKUP(D225,旧テーブル一覧!$A$2:$B$332,2,FALSE))</f>
        <v/>
      </c>
    </row>
    <row r="226" spans="3:3" x14ac:dyDescent="0.15">
      <c r="C226" t="str">
        <f>IF(ISNA( VLOOKUP(D226,旧テーブル一覧!$A$2:$B$332,2,FALSE)),"",VLOOKUP(D226,旧テーブル一覧!$A$2:$B$332,2,FALSE))</f>
        <v/>
      </c>
    </row>
    <row r="227" spans="3:3" x14ac:dyDescent="0.15">
      <c r="C227" t="str">
        <f>IF(ISNA( VLOOKUP(D227,旧テーブル一覧!$A$2:$B$332,2,FALSE)),"",VLOOKUP(D227,旧テーブル一覧!$A$2:$B$332,2,FALSE))</f>
        <v/>
      </c>
    </row>
    <row r="228" spans="3:3" x14ac:dyDescent="0.15">
      <c r="C228" t="str">
        <f>IF(ISNA( VLOOKUP(D228,旧テーブル一覧!$A$2:$B$332,2,FALSE)),"",VLOOKUP(D228,旧テーブル一覧!$A$2:$B$332,2,FALSE))</f>
        <v/>
      </c>
    </row>
    <row r="229" spans="3:3" x14ac:dyDescent="0.15">
      <c r="C229" t="str">
        <f>IF(ISNA( VLOOKUP(D229,旧テーブル一覧!$A$2:$B$332,2,FALSE)),"",VLOOKUP(D229,旧テーブル一覧!$A$2:$B$332,2,FALSE))</f>
        <v/>
      </c>
    </row>
    <row r="230" spans="3:3" x14ac:dyDescent="0.15">
      <c r="C230" t="str">
        <f>IF(ISNA( VLOOKUP(D230,旧テーブル一覧!$A$2:$B$332,2,FALSE)),"",VLOOKUP(D230,旧テーブル一覧!$A$2:$B$332,2,FALSE))</f>
        <v/>
      </c>
    </row>
    <row r="231" spans="3:3" x14ac:dyDescent="0.15">
      <c r="C231" t="str">
        <f>IF(ISNA( VLOOKUP(D231,旧テーブル一覧!$A$2:$B$332,2,FALSE)),"",VLOOKUP(D231,旧テーブル一覧!$A$2:$B$332,2,FALSE))</f>
        <v/>
      </c>
    </row>
    <row r="232" spans="3:3" x14ac:dyDescent="0.15">
      <c r="C232" t="str">
        <f>IF(ISNA( VLOOKUP(D232,旧テーブル一覧!$A$2:$B$332,2,FALSE)),"",VLOOKUP(D232,旧テーブル一覧!$A$2:$B$332,2,FALSE))</f>
        <v/>
      </c>
    </row>
    <row r="233" spans="3:3" x14ac:dyDescent="0.15">
      <c r="C233" t="str">
        <f>IF(ISNA( VLOOKUP(D233,旧テーブル一覧!$A$2:$B$332,2,FALSE)),"",VLOOKUP(D233,旧テーブル一覧!$A$2:$B$332,2,FALSE))</f>
        <v/>
      </c>
    </row>
    <row r="234" spans="3:3" x14ac:dyDescent="0.15">
      <c r="C234" t="str">
        <f>IF(ISNA( VLOOKUP(D234,旧テーブル一覧!$A$2:$B$332,2,FALSE)),"",VLOOKUP(D234,旧テーブル一覧!$A$2:$B$332,2,FALSE))</f>
        <v/>
      </c>
    </row>
    <row r="235" spans="3:3" x14ac:dyDescent="0.15">
      <c r="C235" t="str">
        <f>IF(ISNA( VLOOKUP(D235,旧テーブル一覧!$A$2:$B$332,2,FALSE)),"",VLOOKUP(D235,旧テーブル一覧!$A$2:$B$332,2,FALSE))</f>
        <v/>
      </c>
    </row>
    <row r="236" spans="3:3" x14ac:dyDescent="0.15">
      <c r="C236" t="str">
        <f>IF(ISNA( VLOOKUP(D236,旧テーブル一覧!$A$2:$B$332,2,FALSE)),"",VLOOKUP(D236,旧テーブル一覧!$A$2:$B$332,2,FALSE))</f>
        <v/>
      </c>
    </row>
    <row r="237" spans="3:3" x14ac:dyDescent="0.15">
      <c r="C237" t="str">
        <f>IF(ISNA( VLOOKUP(D237,旧テーブル一覧!$A$2:$B$332,2,FALSE)),"",VLOOKUP(D237,旧テーブル一覧!$A$2:$B$332,2,FALSE))</f>
        <v/>
      </c>
    </row>
    <row r="238" spans="3:3" x14ac:dyDescent="0.15">
      <c r="C238" t="str">
        <f>IF(ISNA( VLOOKUP(D238,旧テーブル一覧!$A$2:$B$332,2,FALSE)),"",VLOOKUP(D238,旧テーブル一覧!$A$2:$B$332,2,FALSE))</f>
        <v/>
      </c>
    </row>
    <row r="239" spans="3:3" x14ac:dyDescent="0.15">
      <c r="C239" t="str">
        <f>IF(ISNA( VLOOKUP(D239,旧テーブル一覧!$A$2:$B$332,2,FALSE)),"",VLOOKUP(D239,旧テーブル一覧!$A$2:$B$332,2,FALSE))</f>
        <v/>
      </c>
    </row>
    <row r="240" spans="3:3" x14ac:dyDescent="0.15">
      <c r="C240" t="str">
        <f>IF(ISNA( VLOOKUP(D240,旧テーブル一覧!$A$2:$B$332,2,FALSE)),"",VLOOKUP(D240,旧テーブル一覧!$A$2:$B$332,2,FALSE))</f>
        <v/>
      </c>
    </row>
    <row r="241" spans="3:3" x14ac:dyDescent="0.15">
      <c r="C241" t="str">
        <f>IF(ISNA( VLOOKUP(D241,旧テーブル一覧!$A$2:$B$332,2,FALSE)),"",VLOOKUP(D241,旧テーブル一覧!$A$2:$B$332,2,FALSE))</f>
        <v/>
      </c>
    </row>
    <row r="242" spans="3:3" x14ac:dyDescent="0.15">
      <c r="C242" t="str">
        <f>IF(ISNA( VLOOKUP(D242,旧テーブル一覧!$A$2:$B$332,2,FALSE)),"",VLOOKUP(D242,旧テーブル一覧!$A$2:$B$332,2,FALSE))</f>
        <v/>
      </c>
    </row>
    <row r="243" spans="3:3" x14ac:dyDescent="0.15">
      <c r="C243" t="str">
        <f>IF(ISNA( VLOOKUP(D243,旧テーブル一覧!$A$2:$B$332,2,FALSE)),"",VLOOKUP(D243,旧テーブル一覧!$A$2:$B$332,2,FALSE))</f>
        <v/>
      </c>
    </row>
    <row r="244" spans="3:3" x14ac:dyDescent="0.15">
      <c r="C244" t="str">
        <f>IF(ISNA( VLOOKUP(D244,旧テーブル一覧!$A$2:$B$332,2,FALSE)),"",VLOOKUP(D244,旧テーブル一覧!$A$2:$B$332,2,FALSE))</f>
        <v/>
      </c>
    </row>
    <row r="245" spans="3:3" x14ac:dyDescent="0.15">
      <c r="C245" t="str">
        <f>IF(ISNA( VLOOKUP(D245,旧テーブル一覧!$A$2:$B$332,2,FALSE)),"",VLOOKUP(D245,旧テーブル一覧!$A$2:$B$332,2,FALSE))</f>
        <v/>
      </c>
    </row>
    <row r="246" spans="3:3" x14ac:dyDescent="0.15">
      <c r="C246" t="str">
        <f>IF(ISNA( VLOOKUP(D246,旧テーブル一覧!$A$2:$B$332,2,FALSE)),"",VLOOKUP(D246,旧テーブル一覧!$A$2:$B$332,2,FALSE))</f>
        <v/>
      </c>
    </row>
    <row r="247" spans="3:3" x14ac:dyDescent="0.15">
      <c r="C247" t="str">
        <f>IF(ISNA( VLOOKUP(D247,旧テーブル一覧!$A$2:$B$332,2,FALSE)),"",VLOOKUP(D247,旧テーブル一覧!$A$2:$B$332,2,FALSE))</f>
        <v/>
      </c>
    </row>
    <row r="248" spans="3:3" x14ac:dyDescent="0.15">
      <c r="C248" t="str">
        <f>IF(ISNA( VLOOKUP(D248,旧テーブル一覧!$A$2:$B$332,2,FALSE)),"",VLOOKUP(D248,旧テーブル一覧!$A$2:$B$332,2,FALSE))</f>
        <v/>
      </c>
    </row>
    <row r="249" spans="3:3" x14ac:dyDescent="0.15">
      <c r="C249" t="str">
        <f>IF(ISNA( VLOOKUP(D249,旧テーブル一覧!$A$2:$B$332,2,FALSE)),"",VLOOKUP(D249,旧テーブル一覧!$A$2:$B$332,2,FALSE))</f>
        <v/>
      </c>
    </row>
    <row r="250" spans="3:3" x14ac:dyDescent="0.15">
      <c r="C250" t="str">
        <f>IF(ISNA( VLOOKUP(D250,旧テーブル一覧!$A$2:$B$332,2,FALSE)),"",VLOOKUP(D250,旧テーブル一覧!$A$2:$B$332,2,FALSE))</f>
        <v/>
      </c>
    </row>
    <row r="251" spans="3:3" x14ac:dyDescent="0.15">
      <c r="C251" t="str">
        <f>IF(ISNA( VLOOKUP(D251,旧テーブル一覧!$A$2:$B$332,2,FALSE)),"",VLOOKUP(D251,旧テーブル一覧!$A$2:$B$332,2,FALSE))</f>
        <v/>
      </c>
    </row>
    <row r="252" spans="3:3" x14ac:dyDescent="0.15">
      <c r="C252" t="str">
        <f>IF(ISNA( VLOOKUP(D252,旧テーブル一覧!$A$2:$B$332,2,FALSE)),"",VLOOKUP(D252,旧テーブル一覧!$A$2:$B$332,2,FALSE))</f>
        <v/>
      </c>
    </row>
    <row r="253" spans="3:3" x14ac:dyDescent="0.15">
      <c r="C253" t="str">
        <f>IF(ISNA( VLOOKUP(D253,旧テーブル一覧!$A$2:$B$332,2,FALSE)),"",VLOOKUP(D253,旧テーブル一覧!$A$2:$B$332,2,FALSE))</f>
        <v/>
      </c>
    </row>
    <row r="254" spans="3:3" x14ac:dyDescent="0.15">
      <c r="C254" t="str">
        <f>IF(ISNA( VLOOKUP(D254,旧テーブル一覧!$A$2:$B$332,2,FALSE)),"",VLOOKUP(D254,旧テーブル一覧!$A$2:$B$332,2,FALSE))</f>
        <v/>
      </c>
    </row>
    <row r="255" spans="3:3" x14ac:dyDescent="0.15">
      <c r="C255" t="str">
        <f>IF(ISNA( VLOOKUP(D255,旧テーブル一覧!$A$2:$B$332,2,FALSE)),"",VLOOKUP(D255,旧テーブル一覧!$A$2:$B$332,2,FALSE))</f>
        <v/>
      </c>
    </row>
    <row r="256" spans="3:3" x14ac:dyDescent="0.15">
      <c r="C256" t="str">
        <f>IF(ISNA( VLOOKUP(D256,旧テーブル一覧!$A$2:$B$332,2,FALSE)),"",VLOOKUP(D256,旧テーブル一覧!$A$2:$B$332,2,FALSE))</f>
        <v/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51"/>
  <sheetViews>
    <sheetView workbookViewId="0">
      <selection activeCell="D55" sqref="D55"/>
    </sheetView>
  </sheetViews>
  <sheetFormatPr defaultRowHeight="13.5" x14ac:dyDescent="0.15"/>
  <cols>
    <col min="2" max="2" width="17.5" customWidth="1"/>
    <col min="3" max="3" width="17.25" bestFit="1" customWidth="1"/>
    <col min="4" max="4" width="31.125" bestFit="1" customWidth="1"/>
    <col min="5" max="5" width="44.875" customWidth="1"/>
  </cols>
  <sheetData>
    <row r="1" spans="1:5" x14ac:dyDescent="0.15">
      <c r="A1" t="s">
        <v>5</v>
      </c>
      <c r="B1" t="s">
        <v>4</v>
      </c>
      <c r="C1" t="s">
        <v>0</v>
      </c>
      <c r="D1" t="s">
        <v>1</v>
      </c>
      <c r="E1" t="s">
        <v>2</v>
      </c>
    </row>
    <row r="2" spans="1:5" x14ac:dyDescent="0.15">
      <c r="A2">
        <f>ROW()-1</f>
        <v>1</v>
      </c>
      <c r="B2" t="s">
        <v>378</v>
      </c>
      <c r="C2" t="str">
        <f>IF(ISNA( VLOOKUP(D2,旧テーブル一覧!$A$2:$B$332,2,FALSE)),"",VLOOKUP(D2,旧テーブル一覧!$A$2:$B$332,2,FALSE))</f>
        <v>設備稼働実績</v>
      </c>
      <c r="D2" s="1" t="s">
        <v>379</v>
      </c>
      <c r="E2" t="str">
        <f>CONCATENATE( SOURCE_OPERATION_TABLELIST[[#This Row],[テーブル名]],"(移行先)")</f>
        <v>設備稼働実績(移行先)</v>
      </c>
    </row>
    <row r="3" spans="1:5" x14ac:dyDescent="0.15">
      <c r="A3">
        <f t="shared" ref="A3:A6" si="0">ROW()-1</f>
        <v>2</v>
      </c>
      <c r="B3" t="s">
        <v>378</v>
      </c>
      <c r="C3" t="str">
        <f>IF(ISNA( VLOOKUP(D3,旧テーブル一覧!$A$2:$B$332,2,FALSE)),"",VLOOKUP(D3,旧テーブル一覧!$A$2:$B$332,2,FALSE))</f>
        <v>設備稼働実績明細</v>
      </c>
      <c r="D3" s="1" t="s">
        <v>365</v>
      </c>
      <c r="E3" t="str">
        <f>CONCATENATE( SOURCE_OPERATION_TABLELIST[[#This Row],[テーブル名]],"(移行先)")</f>
        <v>設備稼働実績明細(移行先)</v>
      </c>
    </row>
    <row r="4" spans="1:5" x14ac:dyDescent="0.15">
      <c r="A4">
        <f t="shared" si="0"/>
        <v>3</v>
      </c>
      <c r="B4" t="s">
        <v>378</v>
      </c>
      <c r="C4" t="str">
        <f>IF(ISNA( VLOOKUP(D4,旧テーブル一覧!$A$2:$B$332,2,FALSE)),"",VLOOKUP(D4,旧テーブル一覧!$A$2:$B$332,2,FALSE))</f>
        <v>設備点検実績</v>
      </c>
      <c r="D4" s="1" t="s">
        <v>366</v>
      </c>
      <c r="E4" t="str">
        <f>CONCATENATE( SOURCE_OPERATION_TABLELIST[[#This Row],[テーブル名]],"(移行先)")</f>
        <v>設備点検実績(移行先)</v>
      </c>
    </row>
    <row r="5" spans="1:5" x14ac:dyDescent="0.15">
      <c r="A5">
        <f t="shared" si="0"/>
        <v>4</v>
      </c>
      <c r="B5" t="s">
        <v>378</v>
      </c>
      <c r="C5" t="str">
        <f>IF(ISNA( VLOOKUP(D5,旧テーブル一覧!$A$2:$B$332,2,FALSE)),"",VLOOKUP(D5,旧テーブル一覧!$A$2:$B$332,2,FALSE))</f>
        <v>異常・対応実績</v>
      </c>
      <c r="D5" s="1" t="s">
        <v>361</v>
      </c>
      <c r="E5" t="str">
        <f>CONCATENATE( SOURCE_OPERATION_TABLELIST[[#This Row],[テーブル名]],"(移行先)")</f>
        <v>異常・対応実績(移行先)</v>
      </c>
    </row>
    <row r="6" spans="1:5" x14ac:dyDescent="0.15">
      <c r="A6">
        <f t="shared" si="0"/>
        <v>5</v>
      </c>
      <c r="B6" t="s">
        <v>380</v>
      </c>
      <c r="C6" t="str">
        <f>IF(ISNA( VLOOKUP(D6,旧テーブル一覧!$A$2:$B$332,2,FALSE)),"",VLOOKUP(D6,旧テーブル一覧!$A$2:$B$332,2,FALSE))</f>
        <v>設備能力明細</v>
      </c>
      <c r="D6" s="1" t="s">
        <v>382</v>
      </c>
      <c r="E6" t="str">
        <f>CONCATENATE( SOURCE_OPERATION_TABLELIST[[#This Row],[テーブル名]],"(移行先)")</f>
        <v>設備能力明細(移行先)</v>
      </c>
    </row>
    <row r="7" spans="1:5" x14ac:dyDescent="0.15">
      <c r="D7" s="1"/>
    </row>
    <row r="8" spans="1:5" x14ac:dyDescent="0.15">
      <c r="D8" s="1"/>
    </row>
    <row r="9" spans="1:5" x14ac:dyDescent="0.15">
      <c r="D9" s="1"/>
    </row>
    <row r="10" spans="1:5" x14ac:dyDescent="0.15">
      <c r="D10" s="1"/>
    </row>
    <row r="11" spans="1:5" x14ac:dyDescent="0.15">
      <c r="D11" s="1"/>
    </row>
    <row r="12" spans="1:5" x14ac:dyDescent="0.15">
      <c r="D12" s="1"/>
    </row>
    <row r="13" spans="1:5" x14ac:dyDescent="0.15">
      <c r="D13" s="1"/>
    </row>
    <row r="14" spans="1:5" x14ac:dyDescent="0.15">
      <c r="D14" s="1"/>
    </row>
    <row r="15" spans="1:5" x14ac:dyDescent="0.15">
      <c r="D15" s="1"/>
    </row>
    <row r="16" spans="1:5" x14ac:dyDescent="0.15">
      <c r="D16" s="1"/>
    </row>
    <row r="17" spans="4:4" x14ac:dyDescent="0.15">
      <c r="D17" s="1"/>
    </row>
    <row r="18" spans="4:4" x14ac:dyDescent="0.15">
      <c r="D18" s="1"/>
    </row>
    <row r="19" spans="4:4" x14ac:dyDescent="0.15">
      <c r="D19" s="1"/>
    </row>
    <row r="20" spans="4:4" x14ac:dyDescent="0.15">
      <c r="D20" s="1"/>
    </row>
    <row r="21" spans="4:4" x14ac:dyDescent="0.15">
      <c r="D21" s="1"/>
    </row>
    <row r="22" spans="4:4" x14ac:dyDescent="0.15">
      <c r="D22" s="1"/>
    </row>
    <row r="23" spans="4:4" x14ac:dyDescent="0.15">
      <c r="D23" s="1"/>
    </row>
    <row r="24" spans="4:4" x14ac:dyDescent="0.15">
      <c r="D24" s="1"/>
    </row>
    <row r="25" spans="4:4" x14ac:dyDescent="0.15">
      <c r="D25" s="1"/>
    </row>
    <row r="26" spans="4:4" x14ac:dyDescent="0.15">
      <c r="D26" s="1"/>
    </row>
    <row r="27" spans="4:4" x14ac:dyDescent="0.15">
      <c r="D27" s="1"/>
    </row>
    <row r="28" spans="4:4" x14ac:dyDescent="0.15">
      <c r="D28" s="1"/>
    </row>
    <row r="29" spans="4:4" x14ac:dyDescent="0.15">
      <c r="D29" s="1"/>
    </row>
    <row r="30" spans="4:4" x14ac:dyDescent="0.15">
      <c r="D30" s="1"/>
    </row>
    <row r="31" spans="4:4" x14ac:dyDescent="0.15">
      <c r="D31" s="1"/>
    </row>
    <row r="32" spans="4:4" x14ac:dyDescent="0.15"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D37" s="1"/>
    </row>
    <row r="38" spans="3:4" x14ac:dyDescent="0.15">
      <c r="D38" s="1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t="str">
        <f>IF(ISNA( VLOOKUP(D45,旧テーブル一覧!$A$2:$B$332,2,FALSE)),"",VLOOKUP(D45,旧テーブル一覧!$A$2:$B$332,2,FALSE))</f>
        <v/>
      </c>
      <c r="D45" s="1"/>
    </row>
    <row r="46" spans="3:4" x14ac:dyDescent="0.15">
      <c r="C46" t="str">
        <f>IF(ISNA( VLOOKUP(D46,旧テーブル一覧!$A$2:$B$332,2,FALSE)),"",VLOOKUP(D46,旧テーブル一覧!$A$2:$B$332,2,FALSE))</f>
        <v/>
      </c>
      <c r="D46" s="1"/>
    </row>
    <row r="47" spans="3:4" x14ac:dyDescent="0.15">
      <c r="C47" t="str">
        <f>IF(ISNA( VLOOKUP(D47,旧テーブル一覧!$A$2:$B$332,2,FALSE)),"",VLOOKUP(D47,旧テーブル一覧!$A$2:$B$332,2,FALSE))</f>
        <v/>
      </c>
      <c r="D47" s="1"/>
    </row>
    <row r="48" spans="3:4" x14ac:dyDescent="0.15">
      <c r="C48" t="str">
        <f>IF(ISNA( VLOOKUP(D48,旧テーブル一覧!$A$2:$B$332,2,FALSE)),"",VLOOKUP(D48,旧テーブル一覧!$A$2:$B$332,2,FALSE))</f>
        <v/>
      </c>
      <c r="D48" s="1"/>
    </row>
    <row r="49" spans="3:4" x14ac:dyDescent="0.15">
      <c r="C49" t="str">
        <f>IF(ISNA( VLOOKUP(D49,旧テーブル一覧!$A$2:$B$332,2,FALSE)),"",VLOOKUP(D49,旧テーブル一覧!$A$2:$B$332,2,FALSE))</f>
        <v/>
      </c>
      <c r="D49" s="1"/>
    </row>
    <row r="50" spans="3:4" x14ac:dyDescent="0.15">
      <c r="C50" t="str">
        <f>IF(ISNA( VLOOKUP(D50,旧テーブル一覧!$A$2:$B$332,2,FALSE)),"",VLOOKUP(D50,旧テーブル一覧!$A$2:$B$332,2,FALSE))</f>
        <v/>
      </c>
      <c r="D50" s="1"/>
    </row>
    <row r="51" spans="3:4" x14ac:dyDescent="0.15">
      <c r="C51" t="str">
        <f>IF(ISNA( VLOOKUP(D51,旧テーブル一覧!$A$2:$B$332,2,FALSE)),"",VLOOKUP(D51,旧テーブル一覧!$A$2:$B$332,2,FALSE))</f>
        <v/>
      </c>
      <c r="D51" s="1"/>
    </row>
    <row r="52" spans="3:4" x14ac:dyDescent="0.15">
      <c r="C52" t="str">
        <f>IF(ISNA( VLOOKUP(D52,旧テーブル一覧!$A$2:$B$332,2,FALSE)),"",VLOOKUP(D52,旧テーブル一覧!$A$2:$B$332,2,FALSE))</f>
        <v/>
      </c>
      <c r="D52" s="1"/>
    </row>
    <row r="53" spans="3:4" x14ac:dyDescent="0.15">
      <c r="C53" t="str">
        <f>IF(ISNA( VLOOKUP(D53,旧テーブル一覧!$A$2:$B$332,2,FALSE)),"",VLOOKUP(D53,旧テーブル一覧!$A$2:$B$332,2,FALSE))</f>
        <v/>
      </c>
      <c r="D53" s="1"/>
    </row>
    <row r="54" spans="3:4" x14ac:dyDescent="0.15">
      <c r="C54" t="str">
        <f>IF(ISNA( VLOOKUP(D54,旧テーブル一覧!$A$2:$B$332,2,FALSE)),"",VLOOKUP(D54,旧テーブル一覧!$A$2:$B$332,2,FALSE))</f>
        <v/>
      </c>
      <c r="D54" s="1"/>
    </row>
    <row r="55" spans="3:4" x14ac:dyDescent="0.15">
      <c r="C55" t="str">
        <f>IF(ISNA( VLOOKUP(D55,旧テーブル一覧!$A$2:$B$332,2,FALSE)),"",VLOOKUP(D55,旧テーブル一覧!$A$2:$B$332,2,FALSE))</f>
        <v/>
      </c>
      <c r="D55" s="1"/>
    </row>
    <row r="56" spans="3:4" x14ac:dyDescent="0.15">
      <c r="C56" t="str">
        <f>IF(ISNA( VLOOKUP(D56,旧テーブル一覧!$A$2:$B$332,2,FALSE)),"",VLOOKUP(D56,旧テーブル一覧!$A$2:$B$332,2,FALSE))</f>
        <v/>
      </c>
      <c r="D56" s="1"/>
    </row>
    <row r="57" spans="3:4" x14ac:dyDescent="0.15">
      <c r="C57" t="str">
        <f>IF(ISNA( VLOOKUP(D57,旧テーブル一覧!$A$2:$B$332,2,FALSE)),"",VLOOKUP(D57,旧テーブル一覧!$A$2:$B$332,2,FALSE))</f>
        <v/>
      </c>
      <c r="D57" s="1"/>
    </row>
    <row r="58" spans="3:4" x14ac:dyDescent="0.15">
      <c r="C58" t="str">
        <f>IF(ISNA( VLOOKUP(D58,旧テーブル一覧!$A$2:$B$332,2,FALSE)),"",VLOOKUP(D58,旧テーブル一覧!$A$2:$B$332,2,FALSE))</f>
        <v/>
      </c>
      <c r="D58" s="1"/>
    </row>
    <row r="59" spans="3:4" x14ac:dyDescent="0.15">
      <c r="C59" t="str">
        <f>IF(ISNA( VLOOKUP(D59,旧テーブル一覧!$A$2:$B$332,2,FALSE)),"",VLOOKUP(D59,旧テーブル一覧!$A$2:$B$332,2,FALSE))</f>
        <v/>
      </c>
      <c r="D59" s="1"/>
    </row>
    <row r="60" spans="3:4" x14ac:dyDescent="0.15">
      <c r="C60" t="str">
        <f>IF(ISNA( VLOOKUP(D60,旧テーブル一覧!$A$2:$B$332,2,FALSE)),"",VLOOKUP(D60,旧テーブル一覧!$A$2:$B$332,2,FALSE))</f>
        <v/>
      </c>
      <c r="D60" s="1"/>
    </row>
    <row r="61" spans="3:4" x14ac:dyDescent="0.15">
      <c r="C61" t="str">
        <f>IF(ISNA( VLOOKUP(D61,旧テーブル一覧!$A$2:$B$332,2,FALSE)),"",VLOOKUP(D61,旧テーブル一覧!$A$2:$B$332,2,FALSE))</f>
        <v/>
      </c>
      <c r="D61" s="1"/>
    </row>
    <row r="62" spans="3:4" x14ac:dyDescent="0.15">
      <c r="C62" t="str">
        <f>IF(ISNA( VLOOKUP(D62,旧テーブル一覧!$A$2:$B$332,2,FALSE)),"",VLOOKUP(D62,旧テーブル一覧!$A$2:$B$332,2,FALSE))</f>
        <v/>
      </c>
      <c r="D62" s="1"/>
    </row>
    <row r="63" spans="3:4" x14ac:dyDescent="0.15">
      <c r="C63" t="str">
        <f>IF(ISNA( VLOOKUP(D63,旧テーブル一覧!$A$2:$B$332,2,FALSE)),"",VLOOKUP(D63,旧テーブル一覧!$A$2:$B$332,2,FALSE))</f>
        <v/>
      </c>
      <c r="D63" s="1"/>
    </row>
    <row r="64" spans="3:4" x14ac:dyDescent="0.15">
      <c r="C64" t="str">
        <f>IF(ISNA( VLOOKUP(D64,旧テーブル一覧!$A$2:$B$332,2,FALSE)),"",VLOOKUP(D64,旧テーブル一覧!$A$2:$B$332,2,FALSE))</f>
        <v/>
      </c>
      <c r="D64" s="1"/>
    </row>
    <row r="65" spans="3:4" x14ac:dyDescent="0.15">
      <c r="C65" t="str">
        <f>IF(ISNA( VLOOKUP(D65,旧テーブル一覧!$A$2:$B$332,2,FALSE)),"",VLOOKUP(D65,旧テーブル一覧!$A$2:$B$332,2,FALSE))</f>
        <v/>
      </c>
      <c r="D65" s="1"/>
    </row>
    <row r="66" spans="3:4" x14ac:dyDescent="0.15">
      <c r="C66" t="str">
        <f>IF(ISNA( VLOOKUP(D66,旧テーブル一覧!$A$2:$B$332,2,FALSE)),"",VLOOKUP(D66,旧テーブル一覧!$A$2:$B$332,2,FALSE))</f>
        <v/>
      </c>
      <c r="D66" s="1"/>
    </row>
    <row r="67" spans="3:4" x14ac:dyDescent="0.15">
      <c r="C67" t="str">
        <f>IF(ISNA( VLOOKUP(D67,旧テーブル一覧!$A$2:$B$332,2,FALSE)),"",VLOOKUP(D67,旧テーブル一覧!$A$2:$B$332,2,FALSE))</f>
        <v/>
      </c>
      <c r="D67" s="1"/>
    </row>
    <row r="68" spans="3:4" x14ac:dyDescent="0.15">
      <c r="C68" t="str">
        <f>IF(ISNA( VLOOKUP(D68,旧テーブル一覧!$A$2:$B$332,2,FALSE)),"",VLOOKUP(D68,旧テーブル一覧!$A$2:$B$332,2,FALSE))</f>
        <v/>
      </c>
      <c r="D68" s="1"/>
    </row>
    <row r="69" spans="3:4" x14ac:dyDescent="0.15">
      <c r="C69" t="str">
        <f>IF(ISNA( VLOOKUP(D69,旧テーブル一覧!$A$2:$B$332,2,FALSE)),"",VLOOKUP(D69,旧テーブル一覧!$A$2:$B$332,2,FALSE))</f>
        <v/>
      </c>
      <c r="D69" s="1"/>
    </row>
    <row r="70" spans="3:4" x14ac:dyDescent="0.15">
      <c r="C70" t="str">
        <f>IF(ISNA( VLOOKUP(D70,旧テーブル一覧!$A$2:$B$332,2,FALSE)),"",VLOOKUP(D70,旧テーブル一覧!$A$2:$B$332,2,FALSE))</f>
        <v/>
      </c>
      <c r="D70" s="1"/>
    </row>
    <row r="71" spans="3:4" x14ac:dyDescent="0.15">
      <c r="C71" t="str">
        <f>IF(ISNA( VLOOKUP(D71,旧テーブル一覧!$A$2:$B$332,2,FALSE)),"",VLOOKUP(D71,旧テーブル一覧!$A$2:$B$332,2,FALSE))</f>
        <v/>
      </c>
      <c r="D71" s="1"/>
    </row>
    <row r="72" spans="3:4" x14ac:dyDescent="0.15">
      <c r="C72" t="str">
        <f>IF(ISNA( VLOOKUP(D72,旧テーブル一覧!$A$2:$B$332,2,FALSE)),"",VLOOKUP(D72,旧テーブル一覧!$A$2:$B$332,2,FALSE))</f>
        <v/>
      </c>
    </row>
    <row r="73" spans="3:4" x14ac:dyDescent="0.15">
      <c r="C73" t="str">
        <f>IF(ISNA( VLOOKUP(D73,旧テーブル一覧!$A$2:$B$332,2,FALSE)),"",VLOOKUP(D73,旧テーブル一覧!$A$2:$B$332,2,FALSE))</f>
        <v/>
      </c>
    </row>
    <row r="74" spans="3:4" x14ac:dyDescent="0.15">
      <c r="C74" t="str">
        <f>IF(ISNA( VLOOKUP(D74,旧テーブル一覧!$A$2:$B$332,2,FALSE)),"",VLOOKUP(D74,旧テーブル一覧!$A$2:$B$332,2,FALSE))</f>
        <v/>
      </c>
    </row>
    <row r="75" spans="3:4" x14ac:dyDescent="0.15">
      <c r="C75" t="str">
        <f>IF(ISNA( VLOOKUP(D75,旧テーブル一覧!$A$2:$B$332,2,FALSE)),"",VLOOKUP(D75,旧テーブル一覧!$A$2:$B$332,2,FALSE))</f>
        <v/>
      </c>
    </row>
    <row r="76" spans="3:4" x14ac:dyDescent="0.15">
      <c r="C76" t="str">
        <f>IF(ISNA( VLOOKUP(D76,旧テーブル一覧!$A$2:$B$332,2,FALSE)),"",VLOOKUP(D76,旧テーブル一覧!$A$2:$B$332,2,FALSE))</f>
        <v/>
      </c>
    </row>
    <row r="77" spans="3:4" x14ac:dyDescent="0.15">
      <c r="C77" t="str">
        <f>IF(ISNA( VLOOKUP(D77,旧テーブル一覧!$A$2:$B$332,2,FALSE)),"",VLOOKUP(D77,旧テーブル一覧!$A$2:$B$332,2,FALSE))</f>
        <v/>
      </c>
    </row>
    <row r="78" spans="3:4" x14ac:dyDescent="0.15">
      <c r="C78" t="str">
        <f>IF(ISNA( VLOOKUP(D78,旧テーブル一覧!$A$2:$B$332,2,FALSE)),"",VLOOKUP(D78,旧テーブル一覧!$A$2:$B$332,2,FALSE))</f>
        <v/>
      </c>
    </row>
    <row r="79" spans="3:4" x14ac:dyDescent="0.15">
      <c r="C79" t="str">
        <f>IF(ISNA( VLOOKUP(D79,旧テーブル一覧!$A$2:$B$332,2,FALSE)),"",VLOOKUP(D79,旧テーブル一覧!$A$2:$B$332,2,FALSE))</f>
        <v/>
      </c>
    </row>
    <row r="80" spans="3:4" x14ac:dyDescent="0.15">
      <c r="C80" t="str">
        <f>IF(ISNA( VLOOKUP(D80,旧テーブル一覧!$A$2:$B$332,2,FALSE)),"",VLOOKUP(D80,旧テーブル一覧!$A$2:$B$332,2,FALSE))</f>
        <v/>
      </c>
    </row>
    <row r="81" spans="3:3" x14ac:dyDescent="0.15">
      <c r="C81" t="str">
        <f>IF(ISNA( VLOOKUP(D81,旧テーブル一覧!$A$2:$B$332,2,FALSE)),"",VLOOKUP(D81,旧テーブル一覧!$A$2:$B$332,2,FALSE))</f>
        <v/>
      </c>
    </row>
    <row r="82" spans="3:3" x14ac:dyDescent="0.15">
      <c r="C82" t="str">
        <f>IF(ISNA( VLOOKUP(D82,旧テーブル一覧!$A$2:$B$332,2,FALSE)),"",VLOOKUP(D82,旧テーブル一覧!$A$2:$B$332,2,FALSE))</f>
        <v/>
      </c>
    </row>
    <row r="83" spans="3:3" x14ac:dyDescent="0.15">
      <c r="C83" t="str">
        <f>IF(ISNA( VLOOKUP(D83,旧テーブル一覧!$A$2:$B$332,2,FALSE)),"",VLOOKUP(D83,旧テーブル一覧!$A$2:$B$332,2,FALSE))</f>
        <v/>
      </c>
    </row>
    <row r="84" spans="3:3" x14ac:dyDescent="0.15">
      <c r="C84" t="str">
        <f>IF(ISNA( VLOOKUP(D84,旧テーブル一覧!$A$2:$B$332,2,FALSE)),"",VLOOKUP(D84,旧テーブル一覧!$A$2:$B$332,2,FALSE))</f>
        <v/>
      </c>
    </row>
    <row r="85" spans="3:3" x14ac:dyDescent="0.15">
      <c r="C85" t="str">
        <f>IF(ISNA( VLOOKUP(D85,旧テーブル一覧!$A$2:$B$332,2,FALSE)),"",VLOOKUP(D85,旧テーブル一覧!$A$2:$B$332,2,FALSE))</f>
        <v/>
      </c>
    </row>
    <row r="86" spans="3:3" x14ac:dyDescent="0.15">
      <c r="C86" t="str">
        <f>IF(ISNA( VLOOKUP(D86,旧テーブル一覧!$A$2:$B$332,2,FALSE)),"",VLOOKUP(D86,旧テーブル一覧!$A$2:$B$332,2,FALSE))</f>
        <v/>
      </c>
    </row>
    <row r="87" spans="3:3" x14ac:dyDescent="0.15">
      <c r="C87" t="str">
        <f>IF(ISNA( VLOOKUP(D87,旧テーブル一覧!$A$2:$B$332,2,FALSE)),"",VLOOKUP(D87,旧テーブル一覧!$A$2:$B$332,2,FALSE))</f>
        <v/>
      </c>
    </row>
    <row r="88" spans="3:3" x14ac:dyDescent="0.15">
      <c r="C88" t="str">
        <f>IF(ISNA( VLOOKUP(D88,旧テーブル一覧!$A$2:$B$332,2,FALSE)),"",VLOOKUP(D88,旧テーブル一覧!$A$2:$B$332,2,FALSE))</f>
        <v/>
      </c>
    </row>
    <row r="89" spans="3:3" x14ac:dyDescent="0.15">
      <c r="C89" t="str">
        <f>IF(ISNA( VLOOKUP(D89,旧テーブル一覧!$A$2:$B$332,2,FALSE)),"",VLOOKUP(D89,旧テーブル一覧!$A$2:$B$332,2,FALSE))</f>
        <v/>
      </c>
    </row>
    <row r="90" spans="3:3" x14ac:dyDescent="0.15">
      <c r="C90" t="str">
        <f>IF(ISNA( VLOOKUP(D90,旧テーブル一覧!$A$2:$B$332,2,FALSE)),"",VLOOKUP(D90,旧テーブル一覧!$A$2:$B$332,2,FALSE))</f>
        <v/>
      </c>
    </row>
    <row r="91" spans="3:3" x14ac:dyDescent="0.15">
      <c r="C91" t="str">
        <f>IF(ISNA( VLOOKUP(D91,旧テーブル一覧!$A$2:$B$332,2,FALSE)),"",VLOOKUP(D91,旧テーブル一覧!$A$2:$B$332,2,FALSE))</f>
        <v/>
      </c>
    </row>
    <row r="92" spans="3:3" x14ac:dyDescent="0.15">
      <c r="C92" t="str">
        <f>IF(ISNA( VLOOKUP(D92,旧テーブル一覧!$A$2:$B$332,2,FALSE)),"",VLOOKUP(D92,旧テーブル一覧!$A$2:$B$332,2,FALSE))</f>
        <v/>
      </c>
    </row>
    <row r="93" spans="3:3" x14ac:dyDescent="0.15">
      <c r="C93" t="str">
        <f>IF(ISNA( VLOOKUP(D93,旧テーブル一覧!$A$2:$B$332,2,FALSE)),"",VLOOKUP(D93,旧テーブル一覧!$A$2:$B$332,2,FALSE))</f>
        <v/>
      </c>
    </row>
    <row r="94" spans="3:3" x14ac:dyDescent="0.15">
      <c r="C94" t="str">
        <f>IF(ISNA( VLOOKUP(D94,旧テーブル一覧!$A$2:$B$332,2,FALSE)),"",VLOOKUP(D94,旧テーブル一覧!$A$2:$B$332,2,FALSE))</f>
        <v/>
      </c>
    </row>
    <row r="95" spans="3:3" x14ac:dyDescent="0.15">
      <c r="C95" t="str">
        <f>IF(ISNA( VLOOKUP(D95,旧テーブル一覧!$A$2:$B$332,2,FALSE)),"",VLOOKUP(D95,旧テーブル一覧!$A$2:$B$332,2,FALSE))</f>
        <v/>
      </c>
    </row>
    <row r="96" spans="3:3" x14ac:dyDescent="0.15">
      <c r="C96" t="str">
        <f>IF(ISNA( VLOOKUP(D96,旧テーブル一覧!$A$2:$B$332,2,FALSE)),"",VLOOKUP(D96,旧テーブル一覧!$A$2:$B$332,2,FALSE))</f>
        <v/>
      </c>
    </row>
    <row r="97" spans="3:3" x14ac:dyDescent="0.15">
      <c r="C97" t="str">
        <f>IF(ISNA( VLOOKUP(D97,旧テーブル一覧!$A$2:$B$332,2,FALSE)),"",VLOOKUP(D97,旧テーブル一覧!$A$2:$B$332,2,FALSE))</f>
        <v/>
      </c>
    </row>
    <row r="98" spans="3:3" x14ac:dyDescent="0.15">
      <c r="C98" t="str">
        <f>IF(ISNA( VLOOKUP(D98,旧テーブル一覧!$A$2:$B$332,2,FALSE)),"",VLOOKUP(D98,旧テーブル一覧!$A$2:$B$332,2,FALSE))</f>
        <v/>
      </c>
    </row>
    <row r="99" spans="3:3" x14ac:dyDescent="0.15">
      <c r="C99" t="str">
        <f>IF(ISNA( VLOOKUP(D99,旧テーブル一覧!$A$2:$B$332,2,FALSE)),"",VLOOKUP(D99,旧テーブル一覧!$A$2:$B$332,2,FALSE))</f>
        <v/>
      </c>
    </row>
    <row r="100" spans="3:3" x14ac:dyDescent="0.15">
      <c r="C100" t="str">
        <f>IF(ISNA( VLOOKUP(D100,旧テーブル一覧!$A$2:$B$332,2,FALSE)),"",VLOOKUP(D100,旧テーブル一覧!$A$2:$B$332,2,FALSE))</f>
        <v/>
      </c>
    </row>
    <row r="101" spans="3:3" x14ac:dyDescent="0.15">
      <c r="C101" t="str">
        <f>IF(ISNA( VLOOKUP(D101,旧テーブル一覧!$A$2:$B$332,2,FALSE)),"",VLOOKUP(D101,旧テーブル一覧!$A$2:$B$332,2,FALSE))</f>
        <v/>
      </c>
    </row>
    <row r="102" spans="3:3" x14ac:dyDescent="0.15">
      <c r="C102" t="str">
        <f>IF(ISNA( VLOOKUP(D102,旧テーブル一覧!$A$2:$B$332,2,FALSE)),"",VLOOKUP(D102,旧テーブル一覧!$A$2:$B$332,2,FALSE))</f>
        <v/>
      </c>
    </row>
    <row r="103" spans="3:3" x14ac:dyDescent="0.15">
      <c r="C103" t="str">
        <f>IF(ISNA( VLOOKUP(D103,旧テーブル一覧!$A$2:$B$332,2,FALSE)),"",VLOOKUP(D103,旧テーブル一覧!$A$2:$B$332,2,FALSE))</f>
        <v/>
      </c>
    </row>
    <row r="104" spans="3:3" x14ac:dyDescent="0.15">
      <c r="C104" t="str">
        <f>IF(ISNA( VLOOKUP(D104,旧テーブル一覧!$A$2:$B$332,2,FALSE)),"",VLOOKUP(D104,旧テーブル一覧!$A$2:$B$332,2,FALSE))</f>
        <v/>
      </c>
    </row>
    <row r="105" spans="3:3" x14ac:dyDescent="0.15">
      <c r="C105" t="str">
        <f>IF(ISNA( VLOOKUP(D105,旧テーブル一覧!$A$2:$B$332,2,FALSE)),"",VLOOKUP(D105,旧テーブル一覧!$A$2:$B$332,2,FALSE))</f>
        <v/>
      </c>
    </row>
    <row r="106" spans="3:3" x14ac:dyDescent="0.15">
      <c r="C106" t="str">
        <f>IF(ISNA( VLOOKUP(D106,旧テーブル一覧!$A$2:$B$332,2,FALSE)),"",VLOOKUP(D106,旧テーブル一覧!$A$2:$B$332,2,FALSE))</f>
        <v/>
      </c>
    </row>
    <row r="107" spans="3:3" x14ac:dyDescent="0.15">
      <c r="C107" t="str">
        <f>IF(ISNA( VLOOKUP(D107,旧テーブル一覧!$A$2:$B$332,2,FALSE)),"",VLOOKUP(D107,旧テーブル一覧!$A$2:$B$332,2,FALSE))</f>
        <v/>
      </c>
    </row>
    <row r="108" spans="3:3" x14ac:dyDescent="0.15">
      <c r="C108" t="str">
        <f>IF(ISNA( VLOOKUP(D108,旧テーブル一覧!$A$2:$B$332,2,FALSE)),"",VLOOKUP(D108,旧テーブル一覧!$A$2:$B$332,2,FALSE))</f>
        <v/>
      </c>
    </row>
    <row r="109" spans="3:3" x14ac:dyDescent="0.15">
      <c r="C109" t="str">
        <f>IF(ISNA( VLOOKUP(D109,旧テーブル一覧!$A$2:$B$332,2,FALSE)),"",VLOOKUP(D109,旧テーブル一覧!$A$2:$B$332,2,FALSE))</f>
        <v/>
      </c>
    </row>
    <row r="110" spans="3:3" x14ac:dyDescent="0.15">
      <c r="C110" t="str">
        <f>IF(ISNA( VLOOKUP(D110,旧テーブル一覧!$A$2:$B$332,2,FALSE)),"",VLOOKUP(D110,旧テーブル一覧!$A$2:$B$332,2,FALSE))</f>
        <v/>
      </c>
    </row>
    <row r="111" spans="3:3" x14ac:dyDescent="0.15">
      <c r="C111" t="str">
        <f>IF(ISNA( VLOOKUP(D111,旧テーブル一覧!$A$2:$B$332,2,FALSE)),"",VLOOKUP(D111,旧テーブル一覧!$A$2:$B$332,2,FALSE))</f>
        <v/>
      </c>
    </row>
    <row r="112" spans="3:3" x14ac:dyDescent="0.15">
      <c r="C112" t="str">
        <f>IF(ISNA( VLOOKUP(D112,旧テーブル一覧!$A$2:$B$332,2,FALSE)),"",VLOOKUP(D112,旧テーブル一覧!$A$2:$B$332,2,FALSE))</f>
        <v/>
      </c>
    </row>
    <row r="113" spans="3:3" x14ac:dyDescent="0.15">
      <c r="C113" t="str">
        <f>IF(ISNA( VLOOKUP(D113,旧テーブル一覧!$A$2:$B$332,2,FALSE)),"",VLOOKUP(D113,旧テーブル一覧!$A$2:$B$332,2,FALSE))</f>
        <v/>
      </c>
    </row>
    <row r="114" spans="3:3" x14ac:dyDescent="0.15">
      <c r="C114" t="str">
        <f>IF(ISNA( VLOOKUP(D114,旧テーブル一覧!$A$2:$B$332,2,FALSE)),"",VLOOKUP(D114,旧テーブル一覧!$A$2:$B$332,2,FALSE))</f>
        <v/>
      </c>
    </row>
    <row r="115" spans="3:3" x14ac:dyDescent="0.15">
      <c r="C115" t="str">
        <f>IF(ISNA( VLOOKUP(D115,旧テーブル一覧!$A$2:$B$332,2,FALSE)),"",VLOOKUP(D115,旧テーブル一覧!$A$2:$B$332,2,FALSE))</f>
        <v/>
      </c>
    </row>
    <row r="116" spans="3:3" x14ac:dyDescent="0.15">
      <c r="C116" t="str">
        <f>IF(ISNA( VLOOKUP(D116,旧テーブル一覧!$A$2:$B$332,2,FALSE)),"",VLOOKUP(D116,旧テーブル一覧!$A$2:$B$332,2,FALSE))</f>
        <v/>
      </c>
    </row>
    <row r="117" spans="3:3" x14ac:dyDescent="0.15">
      <c r="C117" t="str">
        <f>IF(ISNA( VLOOKUP(D117,旧テーブル一覧!$A$2:$B$332,2,FALSE)),"",VLOOKUP(D117,旧テーブル一覧!$A$2:$B$332,2,FALSE))</f>
        <v/>
      </c>
    </row>
    <row r="118" spans="3:3" x14ac:dyDescent="0.15">
      <c r="C118" t="str">
        <f>IF(ISNA( VLOOKUP(D118,旧テーブル一覧!$A$2:$B$332,2,FALSE)),"",VLOOKUP(D118,旧テーブル一覧!$A$2:$B$332,2,FALSE))</f>
        <v/>
      </c>
    </row>
    <row r="119" spans="3:3" x14ac:dyDescent="0.15">
      <c r="C119" t="str">
        <f>IF(ISNA( VLOOKUP(D119,旧テーブル一覧!$A$2:$B$332,2,FALSE)),"",VLOOKUP(D119,旧テーブル一覧!$A$2:$B$332,2,FALSE))</f>
        <v/>
      </c>
    </row>
    <row r="120" spans="3:3" x14ac:dyDescent="0.15">
      <c r="C120" t="str">
        <f>IF(ISNA( VLOOKUP(D120,旧テーブル一覧!$A$2:$B$332,2,FALSE)),"",VLOOKUP(D120,旧テーブル一覧!$A$2:$B$332,2,FALSE))</f>
        <v/>
      </c>
    </row>
    <row r="121" spans="3:3" x14ac:dyDescent="0.15">
      <c r="C121" t="str">
        <f>IF(ISNA( VLOOKUP(D121,旧テーブル一覧!$A$2:$B$332,2,FALSE)),"",VLOOKUP(D121,旧テーブル一覧!$A$2:$B$332,2,FALSE))</f>
        <v/>
      </c>
    </row>
    <row r="122" spans="3:3" x14ac:dyDescent="0.15">
      <c r="C122" t="str">
        <f>IF(ISNA( VLOOKUP(D122,旧テーブル一覧!$A$2:$B$332,2,FALSE)),"",VLOOKUP(D122,旧テーブル一覧!$A$2:$B$332,2,FALSE))</f>
        <v/>
      </c>
    </row>
    <row r="123" spans="3:3" x14ac:dyDescent="0.15">
      <c r="C123" t="str">
        <f>IF(ISNA( VLOOKUP(D123,旧テーブル一覧!$A$2:$B$332,2,FALSE)),"",VLOOKUP(D123,旧テーブル一覧!$A$2:$B$332,2,FALSE))</f>
        <v/>
      </c>
    </row>
    <row r="124" spans="3:3" x14ac:dyDescent="0.15">
      <c r="C124" t="str">
        <f>IF(ISNA( VLOOKUP(D124,旧テーブル一覧!$A$2:$B$332,2,FALSE)),"",VLOOKUP(D124,旧テーブル一覧!$A$2:$B$332,2,FALSE))</f>
        <v/>
      </c>
    </row>
    <row r="125" spans="3:3" x14ac:dyDescent="0.15">
      <c r="C125" t="str">
        <f>IF(ISNA( VLOOKUP(D125,旧テーブル一覧!$A$2:$B$332,2,FALSE)),"",VLOOKUP(D125,旧テーブル一覧!$A$2:$B$332,2,FALSE))</f>
        <v/>
      </c>
    </row>
    <row r="126" spans="3:3" x14ac:dyDescent="0.15">
      <c r="C126" t="str">
        <f>IF(ISNA( VLOOKUP(D126,旧テーブル一覧!$A$2:$B$332,2,FALSE)),"",VLOOKUP(D126,旧テーブル一覧!$A$2:$B$332,2,FALSE))</f>
        <v/>
      </c>
    </row>
    <row r="127" spans="3:3" x14ac:dyDescent="0.15">
      <c r="C127" t="str">
        <f>IF(ISNA( VLOOKUP(D127,旧テーブル一覧!$A$2:$B$332,2,FALSE)),"",VLOOKUP(D127,旧テーブル一覧!$A$2:$B$332,2,FALSE))</f>
        <v/>
      </c>
    </row>
    <row r="128" spans="3:3" x14ac:dyDescent="0.15">
      <c r="C128" t="str">
        <f>IF(ISNA( VLOOKUP(D128,旧テーブル一覧!$A$2:$B$332,2,FALSE)),"",VLOOKUP(D128,旧テーブル一覧!$A$2:$B$332,2,FALSE))</f>
        <v/>
      </c>
    </row>
    <row r="129" spans="3:3" x14ac:dyDescent="0.15">
      <c r="C129" t="str">
        <f>IF(ISNA( VLOOKUP(D129,旧テーブル一覧!$A$2:$B$332,2,FALSE)),"",VLOOKUP(D129,旧テーブル一覧!$A$2:$B$332,2,FALSE))</f>
        <v/>
      </c>
    </row>
    <row r="130" spans="3:3" x14ac:dyDescent="0.15">
      <c r="C130" t="str">
        <f>IF(ISNA( VLOOKUP(D130,旧テーブル一覧!$A$2:$B$332,2,FALSE)),"",VLOOKUP(D130,旧テーブル一覧!$A$2:$B$332,2,FALSE))</f>
        <v/>
      </c>
    </row>
    <row r="131" spans="3:3" x14ac:dyDescent="0.15">
      <c r="C131" t="str">
        <f>IF(ISNA( VLOOKUP(D131,旧テーブル一覧!$A$2:$B$332,2,FALSE)),"",VLOOKUP(D131,旧テーブル一覧!$A$2:$B$332,2,FALSE))</f>
        <v/>
      </c>
    </row>
    <row r="132" spans="3:3" x14ac:dyDescent="0.15">
      <c r="C132" t="str">
        <f>IF(ISNA( VLOOKUP(D132,旧テーブル一覧!$A$2:$B$332,2,FALSE)),"",VLOOKUP(D132,旧テーブル一覧!$A$2:$B$332,2,FALSE))</f>
        <v/>
      </c>
    </row>
    <row r="133" spans="3:3" x14ac:dyDescent="0.15">
      <c r="C133" t="str">
        <f>IF(ISNA( VLOOKUP(D133,旧テーブル一覧!$A$2:$B$332,2,FALSE)),"",VLOOKUP(D133,旧テーブル一覧!$A$2:$B$332,2,FALSE))</f>
        <v/>
      </c>
    </row>
    <row r="134" spans="3:3" x14ac:dyDescent="0.15">
      <c r="C134" t="str">
        <f>IF(ISNA( VLOOKUP(D134,旧テーブル一覧!$A$2:$B$332,2,FALSE)),"",VLOOKUP(D134,旧テーブル一覧!$A$2:$B$332,2,FALSE))</f>
        <v/>
      </c>
    </row>
    <row r="135" spans="3:3" x14ac:dyDescent="0.15">
      <c r="C135" t="str">
        <f>IF(ISNA( VLOOKUP(D135,旧テーブル一覧!$A$2:$B$332,2,FALSE)),"",VLOOKUP(D135,旧テーブル一覧!$A$2:$B$332,2,FALSE))</f>
        <v/>
      </c>
    </row>
    <row r="136" spans="3:3" x14ac:dyDescent="0.15">
      <c r="C136" t="str">
        <f>IF(ISNA( VLOOKUP(D136,旧テーブル一覧!$A$2:$B$332,2,FALSE)),"",VLOOKUP(D136,旧テーブル一覧!$A$2:$B$332,2,FALSE))</f>
        <v/>
      </c>
    </row>
    <row r="137" spans="3:3" x14ac:dyDescent="0.15">
      <c r="C137" t="str">
        <f>IF(ISNA( VLOOKUP(D137,旧テーブル一覧!$A$2:$B$332,2,FALSE)),"",VLOOKUP(D137,旧テーブル一覧!$A$2:$B$332,2,FALSE))</f>
        <v/>
      </c>
    </row>
    <row r="138" spans="3:3" x14ac:dyDescent="0.15">
      <c r="C138" t="str">
        <f>IF(ISNA( VLOOKUP(D138,旧テーブル一覧!$A$2:$B$332,2,FALSE)),"",VLOOKUP(D138,旧テーブル一覧!$A$2:$B$332,2,FALSE))</f>
        <v/>
      </c>
    </row>
    <row r="139" spans="3:3" x14ac:dyDescent="0.15">
      <c r="C139" t="str">
        <f>IF(ISNA( VLOOKUP(D139,旧テーブル一覧!$A$2:$B$332,2,FALSE)),"",VLOOKUP(D139,旧テーブル一覧!$A$2:$B$332,2,FALSE))</f>
        <v/>
      </c>
    </row>
    <row r="140" spans="3:3" x14ac:dyDescent="0.15">
      <c r="C140" t="str">
        <f>IF(ISNA( VLOOKUP(D140,旧テーブル一覧!$A$2:$B$332,2,FALSE)),"",VLOOKUP(D140,旧テーブル一覧!$A$2:$B$332,2,FALSE))</f>
        <v/>
      </c>
    </row>
    <row r="141" spans="3:3" x14ac:dyDescent="0.15">
      <c r="C141" t="str">
        <f>IF(ISNA( VLOOKUP(D141,旧テーブル一覧!$A$2:$B$332,2,FALSE)),"",VLOOKUP(D141,旧テーブル一覧!$A$2:$B$332,2,FALSE))</f>
        <v/>
      </c>
    </row>
    <row r="142" spans="3:3" x14ac:dyDescent="0.15">
      <c r="C142" t="str">
        <f>IF(ISNA( VLOOKUP(D142,旧テーブル一覧!$A$2:$B$332,2,FALSE)),"",VLOOKUP(D142,旧テーブル一覧!$A$2:$B$332,2,FALSE))</f>
        <v/>
      </c>
    </row>
    <row r="143" spans="3:3" x14ac:dyDescent="0.15">
      <c r="C143" t="str">
        <f>IF(ISNA( VLOOKUP(D143,旧テーブル一覧!$A$2:$B$332,2,FALSE)),"",VLOOKUP(D143,旧テーブル一覧!$A$2:$B$332,2,FALSE))</f>
        <v/>
      </c>
    </row>
    <row r="144" spans="3:3" x14ac:dyDescent="0.15">
      <c r="C144" t="str">
        <f>IF(ISNA( VLOOKUP(D144,旧テーブル一覧!$A$2:$B$332,2,FALSE)),"",VLOOKUP(D144,旧テーブル一覧!$A$2:$B$332,2,FALSE))</f>
        <v/>
      </c>
    </row>
    <row r="145" spans="3:3" x14ac:dyDescent="0.15">
      <c r="C145" t="str">
        <f>IF(ISNA( VLOOKUP(D145,旧テーブル一覧!$A$2:$B$332,2,FALSE)),"",VLOOKUP(D145,旧テーブル一覧!$A$2:$B$332,2,FALSE))</f>
        <v/>
      </c>
    </row>
    <row r="146" spans="3:3" x14ac:dyDescent="0.15">
      <c r="C146" t="str">
        <f>IF(ISNA( VLOOKUP(D146,旧テーブル一覧!$A$2:$B$332,2,FALSE)),"",VLOOKUP(D146,旧テーブル一覧!$A$2:$B$332,2,FALSE))</f>
        <v/>
      </c>
    </row>
    <row r="147" spans="3:3" x14ac:dyDescent="0.15">
      <c r="C147" t="str">
        <f>IF(ISNA( VLOOKUP(D147,旧テーブル一覧!$A$2:$B$332,2,FALSE)),"",VLOOKUP(D147,旧テーブル一覧!$A$2:$B$332,2,FALSE))</f>
        <v/>
      </c>
    </row>
    <row r="148" spans="3:3" x14ac:dyDescent="0.15">
      <c r="C148" t="str">
        <f>IF(ISNA( VLOOKUP(D148,旧テーブル一覧!$A$2:$B$332,2,FALSE)),"",VLOOKUP(D148,旧テーブル一覧!$A$2:$B$332,2,FALSE))</f>
        <v/>
      </c>
    </row>
    <row r="149" spans="3:3" x14ac:dyDescent="0.15">
      <c r="C149" t="str">
        <f>IF(ISNA( VLOOKUP(D149,旧テーブル一覧!$A$2:$B$332,2,FALSE)),"",VLOOKUP(D149,旧テーブル一覧!$A$2:$B$332,2,FALSE))</f>
        <v/>
      </c>
    </row>
    <row r="150" spans="3:3" x14ac:dyDescent="0.15">
      <c r="C150" t="str">
        <f>IF(ISNA( VLOOKUP(D150,旧テーブル一覧!$A$2:$B$332,2,FALSE)),"",VLOOKUP(D150,旧テーブル一覧!$A$2:$B$332,2,FALSE))</f>
        <v/>
      </c>
    </row>
    <row r="151" spans="3:3" x14ac:dyDescent="0.15">
      <c r="C151" t="str">
        <f>IF(ISNA( VLOOKUP(D151,旧テーブル一覧!$A$2:$B$332,2,FALSE)),"",VLOOKUP(D151,旧テーブル一覧!$A$2:$B$332,2,FALSE))</f>
        <v/>
      </c>
    </row>
    <row r="152" spans="3:3" x14ac:dyDescent="0.15">
      <c r="C152" t="str">
        <f>IF(ISNA( VLOOKUP(D152,旧テーブル一覧!$A$2:$B$332,2,FALSE)),"",VLOOKUP(D152,旧テーブル一覧!$A$2:$B$332,2,FALSE))</f>
        <v/>
      </c>
    </row>
    <row r="153" spans="3:3" x14ac:dyDescent="0.15">
      <c r="C153" t="str">
        <f>IF(ISNA( VLOOKUP(D153,旧テーブル一覧!$A$2:$B$332,2,FALSE)),"",VLOOKUP(D153,旧テーブル一覧!$A$2:$B$332,2,FALSE))</f>
        <v/>
      </c>
    </row>
    <row r="154" spans="3:3" x14ac:dyDescent="0.15">
      <c r="C154" t="str">
        <f>IF(ISNA( VLOOKUP(D154,旧テーブル一覧!$A$2:$B$332,2,FALSE)),"",VLOOKUP(D154,旧テーブル一覧!$A$2:$B$332,2,FALSE))</f>
        <v/>
      </c>
    </row>
    <row r="155" spans="3:3" x14ac:dyDescent="0.15">
      <c r="C155" t="str">
        <f>IF(ISNA( VLOOKUP(D155,旧テーブル一覧!$A$2:$B$332,2,FALSE)),"",VLOOKUP(D155,旧テーブル一覧!$A$2:$B$332,2,FALSE))</f>
        <v/>
      </c>
    </row>
    <row r="156" spans="3:3" x14ac:dyDescent="0.15">
      <c r="C156" t="str">
        <f>IF(ISNA( VLOOKUP(D156,旧テーブル一覧!$A$2:$B$332,2,FALSE)),"",VLOOKUP(D156,旧テーブル一覧!$A$2:$B$332,2,FALSE))</f>
        <v/>
      </c>
    </row>
    <row r="157" spans="3:3" x14ac:dyDescent="0.15">
      <c r="C157" t="str">
        <f>IF(ISNA( VLOOKUP(D157,旧テーブル一覧!$A$2:$B$332,2,FALSE)),"",VLOOKUP(D157,旧テーブル一覧!$A$2:$B$332,2,FALSE))</f>
        <v/>
      </c>
    </row>
    <row r="158" spans="3:3" x14ac:dyDescent="0.15">
      <c r="C158" t="str">
        <f>IF(ISNA( VLOOKUP(D158,旧テーブル一覧!$A$2:$B$332,2,FALSE)),"",VLOOKUP(D158,旧テーブル一覧!$A$2:$B$332,2,FALSE))</f>
        <v/>
      </c>
    </row>
    <row r="159" spans="3:3" x14ac:dyDescent="0.15">
      <c r="C159" t="str">
        <f>IF(ISNA( VLOOKUP(D159,旧テーブル一覧!$A$2:$B$332,2,FALSE)),"",VLOOKUP(D159,旧テーブル一覧!$A$2:$B$332,2,FALSE))</f>
        <v/>
      </c>
    </row>
    <row r="160" spans="3:3" x14ac:dyDescent="0.15">
      <c r="C160" t="str">
        <f>IF(ISNA( VLOOKUP(D160,旧テーブル一覧!$A$2:$B$332,2,FALSE)),"",VLOOKUP(D160,旧テーブル一覧!$A$2:$B$332,2,FALSE))</f>
        <v/>
      </c>
    </row>
    <row r="161" spans="3:3" x14ac:dyDescent="0.15">
      <c r="C161" t="str">
        <f>IF(ISNA( VLOOKUP(D161,旧テーブル一覧!$A$2:$B$332,2,FALSE)),"",VLOOKUP(D161,旧テーブル一覧!$A$2:$B$332,2,FALSE))</f>
        <v/>
      </c>
    </row>
    <row r="162" spans="3:3" x14ac:dyDescent="0.15">
      <c r="C162" t="str">
        <f>IF(ISNA( VLOOKUP(D162,旧テーブル一覧!$A$2:$B$332,2,FALSE)),"",VLOOKUP(D162,旧テーブル一覧!$A$2:$B$332,2,FALSE))</f>
        <v/>
      </c>
    </row>
    <row r="163" spans="3:3" x14ac:dyDescent="0.15">
      <c r="C163" t="str">
        <f>IF(ISNA( VLOOKUP(D163,旧テーブル一覧!$A$2:$B$332,2,FALSE)),"",VLOOKUP(D163,旧テーブル一覧!$A$2:$B$332,2,FALSE))</f>
        <v/>
      </c>
    </row>
    <row r="164" spans="3:3" x14ac:dyDescent="0.15">
      <c r="C164" t="str">
        <f>IF(ISNA( VLOOKUP(D164,旧テーブル一覧!$A$2:$B$332,2,FALSE)),"",VLOOKUP(D164,旧テーブル一覧!$A$2:$B$332,2,FALSE))</f>
        <v/>
      </c>
    </row>
    <row r="165" spans="3:3" x14ac:dyDescent="0.15">
      <c r="C165" t="str">
        <f>IF(ISNA( VLOOKUP(D165,旧テーブル一覧!$A$2:$B$332,2,FALSE)),"",VLOOKUP(D165,旧テーブル一覧!$A$2:$B$332,2,FALSE))</f>
        <v/>
      </c>
    </row>
    <row r="166" spans="3:3" x14ac:dyDescent="0.15">
      <c r="C166" t="str">
        <f>IF(ISNA( VLOOKUP(D166,旧テーブル一覧!$A$2:$B$332,2,FALSE)),"",VLOOKUP(D166,旧テーブル一覧!$A$2:$B$332,2,FALSE))</f>
        <v/>
      </c>
    </row>
    <row r="167" spans="3:3" x14ac:dyDescent="0.15">
      <c r="C167" t="str">
        <f>IF(ISNA( VLOOKUP(D167,旧テーブル一覧!$A$2:$B$332,2,FALSE)),"",VLOOKUP(D167,旧テーブル一覧!$A$2:$B$332,2,FALSE))</f>
        <v/>
      </c>
    </row>
    <row r="168" spans="3:3" x14ac:dyDescent="0.15">
      <c r="C168" t="str">
        <f>IF(ISNA( VLOOKUP(D168,旧テーブル一覧!$A$2:$B$332,2,FALSE)),"",VLOOKUP(D168,旧テーブル一覧!$A$2:$B$332,2,FALSE))</f>
        <v/>
      </c>
    </row>
    <row r="169" spans="3:3" x14ac:dyDescent="0.15">
      <c r="C169" t="str">
        <f>IF(ISNA( VLOOKUP(D169,旧テーブル一覧!$A$2:$B$332,2,FALSE)),"",VLOOKUP(D169,旧テーブル一覧!$A$2:$B$332,2,FALSE))</f>
        <v/>
      </c>
    </row>
    <row r="170" spans="3:3" x14ac:dyDescent="0.15">
      <c r="C170" t="str">
        <f>IF(ISNA( VLOOKUP(D170,旧テーブル一覧!$A$2:$B$332,2,FALSE)),"",VLOOKUP(D170,旧テーブル一覧!$A$2:$B$332,2,FALSE))</f>
        <v/>
      </c>
    </row>
    <row r="171" spans="3:3" x14ac:dyDescent="0.15">
      <c r="C171" t="str">
        <f>IF(ISNA( VLOOKUP(D171,旧テーブル一覧!$A$2:$B$332,2,FALSE)),"",VLOOKUP(D171,旧テーブル一覧!$A$2:$B$332,2,FALSE))</f>
        <v/>
      </c>
    </row>
    <row r="172" spans="3:3" x14ac:dyDescent="0.15">
      <c r="C172" t="str">
        <f>IF(ISNA( VLOOKUP(D172,旧テーブル一覧!$A$2:$B$332,2,FALSE)),"",VLOOKUP(D172,旧テーブル一覧!$A$2:$B$332,2,FALSE))</f>
        <v/>
      </c>
    </row>
    <row r="173" spans="3:3" x14ac:dyDescent="0.15">
      <c r="C173" t="str">
        <f>IF(ISNA( VLOOKUP(D173,旧テーブル一覧!$A$2:$B$332,2,FALSE)),"",VLOOKUP(D173,旧テーブル一覧!$A$2:$B$332,2,FALSE))</f>
        <v/>
      </c>
    </row>
    <row r="174" spans="3:3" x14ac:dyDescent="0.15">
      <c r="C174" t="str">
        <f>IF(ISNA( VLOOKUP(D174,旧テーブル一覧!$A$2:$B$332,2,FALSE)),"",VLOOKUP(D174,旧テーブル一覧!$A$2:$B$332,2,FALSE))</f>
        <v/>
      </c>
    </row>
    <row r="175" spans="3:3" x14ac:dyDescent="0.15">
      <c r="C175" t="str">
        <f>IF(ISNA( VLOOKUP(D175,旧テーブル一覧!$A$2:$B$332,2,FALSE)),"",VLOOKUP(D175,旧テーブル一覧!$A$2:$B$332,2,FALSE))</f>
        <v/>
      </c>
    </row>
    <row r="176" spans="3:3" x14ac:dyDescent="0.15">
      <c r="C176" t="str">
        <f>IF(ISNA( VLOOKUP(D176,旧テーブル一覧!$A$2:$B$332,2,FALSE)),"",VLOOKUP(D176,旧テーブル一覧!$A$2:$B$332,2,FALSE))</f>
        <v/>
      </c>
    </row>
    <row r="177" spans="3:3" x14ac:dyDescent="0.15">
      <c r="C177" t="str">
        <f>IF(ISNA( VLOOKUP(D177,旧テーブル一覧!$A$2:$B$332,2,FALSE)),"",VLOOKUP(D177,旧テーブル一覧!$A$2:$B$332,2,FALSE))</f>
        <v/>
      </c>
    </row>
    <row r="178" spans="3:3" x14ac:dyDescent="0.15">
      <c r="C178" t="str">
        <f>IF(ISNA( VLOOKUP(D178,旧テーブル一覧!$A$2:$B$332,2,FALSE)),"",VLOOKUP(D178,旧テーブル一覧!$A$2:$B$332,2,FALSE))</f>
        <v/>
      </c>
    </row>
    <row r="179" spans="3:3" x14ac:dyDescent="0.15">
      <c r="C179" t="str">
        <f>IF(ISNA( VLOOKUP(D179,旧テーブル一覧!$A$2:$B$332,2,FALSE)),"",VLOOKUP(D179,旧テーブル一覧!$A$2:$B$332,2,FALSE))</f>
        <v/>
      </c>
    </row>
    <row r="180" spans="3:3" x14ac:dyDescent="0.15">
      <c r="C180" t="str">
        <f>IF(ISNA( VLOOKUP(D180,旧テーブル一覧!$A$2:$B$332,2,FALSE)),"",VLOOKUP(D180,旧テーブル一覧!$A$2:$B$332,2,FALSE))</f>
        <v/>
      </c>
    </row>
    <row r="181" spans="3:3" x14ac:dyDescent="0.15">
      <c r="C181" t="str">
        <f>IF(ISNA( VLOOKUP(D181,旧テーブル一覧!$A$2:$B$332,2,FALSE)),"",VLOOKUP(D181,旧テーブル一覧!$A$2:$B$332,2,FALSE))</f>
        <v/>
      </c>
    </row>
    <row r="182" spans="3:3" x14ac:dyDescent="0.15">
      <c r="C182" t="str">
        <f>IF(ISNA( VLOOKUP(D182,旧テーブル一覧!$A$2:$B$332,2,FALSE)),"",VLOOKUP(D182,旧テーブル一覧!$A$2:$B$332,2,FALSE))</f>
        <v/>
      </c>
    </row>
    <row r="183" spans="3:3" x14ac:dyDescent="0.15">
      <c r="C183" t="str">
        <f>IF(ISNA( VLOOKUP(D183,旧テーブル一覧!$A$2:$B$332,2,FALSE)),"",VLOOKUP(D183,旧テーブル一覧!$A$2:$B$332,2,FALSE))</f>
        <v/>
      </c>
    </row>
    <row r="184" spans="3:3" x14ac:dyDescent="0.15">
      <c r="C184" t="str">
        <f>IF(ISNA( VLOOKUP(D184,旧テーブル一覧!$A$2:$B$332,2,FALSE)),"",VLOOKUP(D184,旧テーブル一覧!$A$2:$B$332,2,FALSE))</f>
        <v/>
      </c>
    </row>
    <row r="185" spans="3:3" x14ac:dyDescent="0.15">
      <c r="C185" t="str">
        <f>IF(ISNA( VLOOKUP(D185,旧テーブル一覧!$A$2:$B$332,2,FALSE)),"",VLOOKUP(D185,旧テーブル一覧!$A$2:$B$332,2,FALSE))</f>
        <v/>
      </c>
    </row>
    <row r="186" spans="3:3" x14ac:dyDescent="0.15">
      <c r="C186" t="str">
        <f>IF(ISNA( VLOOKUP(D186,旧テーブル一覧!$A$2:$B$332,2,FALSE)),"",VLOOKUP(D186,旧テーブル一覧!$A$2:$B$332,2,FALSE))</f>
        <v/>
      </c>
    </row>
    <row r="187" spans="3:3" x14ac:dyDescent="0.15">
      <c r="C187" t="str">
        <f>IF(ISNA( VLOOKUP(D187,旧テーブル一覧!$A$2:$B$332,2,FALSE)),"",VLOOKUP(D187,旧テーブル一覧!$A$2:$B$332,2,FALSE))</f>
        <v/>
      </c>
    </row>
    <row r="188" spans="3:3" x14ac:dyDescent="0.15">
      <c r="C188" t="str">
        <f>IF(ISNA( VLOOKUP(D188,旧テーブル一覧!$A$2:$B$332,2,FALSE)),"",VLOOKUP(D188,旧テーブル一覧!$A$2:$B$332,2,FALSE))</f>
        <v/>
      </c>
    </row>
    <row r="189" spans="3:3" x14ac:dyDescent="0.15">
      <c r="C189" t="str">
        <f>IF(ISNA( VLOOKUP(D189,旧テーブル一覧!$A$2:$B$332,2,FALSE)),"",VLOOKUP(D189,旧テーブル一覧!$A$2:$B$332,2,FALSE))</f>
        <v/>
      </c>
    </row>
    <row r="190" spans="3:3" x14ac:dyDescent="0.15">
      <c r="C190" t="str">
        <f>IF(ISNA( VLOOKUP(D190,旧テーブル一覧!$A$2:$B$332,2,FALSE)),"",VLOOKUP(D190,旧テーブル一覧!$A$2:$B$332,2,FALSE))</f>
        <v/>
      </c>
    </row>
    <row r="191" spans="3:3" x14ac:dyDescent="0.15">
      <c r="C191" t="str">
        <f>IF(ISNA( VLOOKUP(D191,旧テーブル一覧!$A$2:$B$332,2,FALSE)),"",VLOOKUP(D191,旧テーブル一覧!$A$2:$B$332,2,FALSE))</f>
        <v/>
      </c>
    </row>
    <row r="192" spans="3:3" x14ac:dyDescent="0.15">
      <c r="C192" t="str">
        <f>IF(ISNA( VLOOKUP(D192,旧テーブル一覧!$A$2:$B$332,2,FALSE)),"",VLOOKUP(D192,旧テーブル一覧!$A$2:$B$332,2,FALSE))</f>
        <v/>
      </c>
    </row>
    <row r="193" spans="3:3" x14ac:dyDescent="0.15">
      <c r="C193" t="str">
        <f>IF(ISNA( VLOOKUP(D193,旧テーブル一覧!$A$2:$B$332,2,FALSE)),"",VLOOKUP(D193,旧テーブル一覧!$A$2:$B$332,2,FALSE))</f>
        <v/>
      </c>
    </row>
    <row r="194" spans="3:3" x14ac:dyDescent="0.15">
      <c r="C194" t="str">
        <f>IF(ISNA( VLOOKUP(D194,旧テーブル一覧!$A$2:$B$332,2,FALSE)),"",VLOOKUP(D194,旧テーブル一覧!$A$2:$B$332,2,FALSE))</f>
        <v/>
      </c>
    </row>
    <row r="195" spans="3:3" x14ac:dyDescent="0.15">
      <c r="C195" t="str">
        <f>IF(ISNA( VLOOKUP(D195,旧テーブル一覧!$A$2:$B$332,2,FALSE)),"",VLOOKUP(D195,旧テーブル一覧!$A$2:$B$332,2,FALSE))</f>
        <v/>
      </c>
    </row>
    <row r="196" spans="3:3" x14ac:dyDescent="0.15">
      <c r="C196" t="str">
        <f>IF(ISNA( VLOOKUP(D196,旧テーブル一覧!$A$2:$B$332,2,FALSE)),"",VLOOKUP(D196,旧テーブル一覧!$A$2:$B$332,2,FALSE))</f>
        <v/>
      </c>
    </row>
    <row r="197" spans="3:3" x14ac:dyDescent="0.15">
      <c r="C197" t="str">
        <f>IF(ISNA( VLOOKUP(D197,旧テーブル一覧!$A$2:$B$332,2,FALSE)),"",VLOOKUP(D197,旧テーブル一覧!$A$2:$B$332,2,FALSE))</f>
        <v/>
      </c>
    </row>
    <row r="198" spans="3:3" x14ac:dyDescent="0.15">
      <c r="C198" t="str">
        <f>IF(ISNA( VLOOKUP(D198,旧テーブル一覧!$A$2:$B$332,2,FALSE)),"",VLOOKUP(D198,旧テーブル一覧!$A$2:$B$332,2,FALSE))</f>
        <v/>
      </c>
    </row>
    <row r="199" spans="3:3" x14ac:dyDescent="0.15">
      <c r="C199" t="str">
        <f>IF(ISNA( VLOOKUP(D199,旧テーブル一覧!$A$2:$B$332,2,FALSE)),"",VLOOKUP(D199,旧テーブル一覧!$A$2:$B$332,2,FALSE))</f>
        <v/>
      </c>
    </row>
    <row r="200" spans="3:3" x14ac:dyDescent="0.15">
      <c r="C200" t="str">
        <f>IF(ISNA( VLOOKUP(D200,旧テーブル一覧!$A$2:$B$332,2,FALSE)),"",VLOOKUP(D200,旧テーブル一覧!$A$2:$B$332,2,FALSE))</f>
        <v/>
      </c>
    </row>
    <row r="201" spans="3:3" x14ac:dyDescent="0.15">
      <c r="C201" t="str">
        <f>IF(ISNA( VLOOKUP(D201,旧テーブル一覧!$A$2:$B$332,2,FALSE)),"",VLOOKUP(D201,旧テーブル一覧!$A$2:$B$332,2,FALSE))</f>
        <v/>
      </c>
    </row>
    <row r="202" spans="3:3" x14ac:dyDescent="0.15">
      <c r="C202" t="str">
        <f>IF(ISNA( VLOOKUP(D202,旧テーブル一覧!$A$2:$B$332,2,FALSE)),"",VLOOKUP(D202,旧テーブル一覧!$A$2:$B$332,2,FALSE))</f>
        <v/>
      </c>
    </row>
    <row r="203" spans="3:3" x14ac:dyDescent="0.15">
      <c r="C203" t="str">
        <f>IF(ISNA( VLOOKUP(D203,旧テーブル一覧!$A$2:$B$332,2,FALSE)),"",VLOOKUP(D203,旧テーブル一覧!$A$2:$B$332,2,FALSE))</f>
        <v/>
      </c>
    </row>
    <row r="204" spans="3:3" x14ac:dyDescent="0.15">
      <c r="C204" t="str">
        <f>IF(ISNA( VLOOKUP(D204,旧テーブル一覧!$A$2:$B$332,2,FALSE)),"",VLOOKUP(D204,旧テーブル一覧!$A$2:$B$332,2,FALSE))</f>
        <v/>
      </c>
    </row>
    <row r="205" spans="3:3" x14ac:dyDescent="0.15">
      <c r="C205" t="str">
        <f>IF(ISNA( VLOOKUP(D205,旧テーブル一覧!$A$2:$B$332,2,FALSE)),"",VLOOKUP(D205,旧テーブル一覧!$A$2:$B$332,2,FALSE))</f>
        <v/>
      </c>
    </row>
    <row r="206" spans="3:3" x14ac:dyDescent="0.15">
      <c r="C206" t="str">
        <f>IF(ISNA( VLOOKUP(D206,旧テーブル一覧!$A$2:$B$332,2,FALSE)),"",VLOOKUP(D206,旧テーブル一覧!$A$2:$B$332,2,FALSE))</f>
        <v/>
      </c>
    </row>
    <row r="207" spans="3:3" x14ac:dyDescent="0.15">
      <c r="C207" t="str">
        <f>IF(ISNA( VLOOKUP(D207,旧テーブル一覧!$A$2:$B$332,2,FALSE)),"",VLOOKUP(D207,旧テーブル一覧!$A$2:$B$332,2,FALSE))</f>
        <v/>
      </c>
    </row>
    <row r="208" spans="3:3" x14ac:dyDescent="0.15">
      <c r="C208" t="str">
        <f>IF(ISNA( VLOOKUP(D208,旧テーブル一覧!$A$2:$B$332,2,FALSE)),"",VLOOKUP(D208,旧テーブル一覧!$A$2:$B$332,2,FALSE))</f>
        <v/>
      </c>
    </row>
    <row r="209" spans="3:3" x14ac:dyDescent="0.15">
      <c r="C209" t="str">
        <f>IF(ISNA( VLOOKUP(D209,旧テーブル一覧!$A$2:$B$332,2,FALSE)),"",VLOOKUP(D209,旧テーブル一覧!$A$2:$B$332,2,FALSE))</f>
        <v/>
      </c>
    </row>
    <row r="210" spans="3:3" x14ac:dyDescent="0.15">
      <c r="C210" t="str">
        <f>IF(ISNA( VLOOKUP(D210,旧テーブル一覧!$A$2:$B$332,2,FALSE)),"",VLOOKUP(D210,旧テーブル一覧!$A$2:$B$332,2,FALSE))</f>
        <v/>
      </c>
    </row>
    <row r="211" spans="3:3" x14ac:dyDescent="0.15">
      <c r="C211" t="str">
        <f>IF(ISNA( VLOOKUP(D211,旧テーブル一覧!$A$2:$B$332,2,FALSE)),"",VLOOKUP(D211,旧テーブル一覧!$A$2:$B$332,2,FALSE))</f>
        <v/>
      </c>
    </row>
    <row r="212" spans="3:3" x14ac:dyDescent="0.15">
      <c r="C212" t="str">
        <f>IF(ISNA( VLOOKUP(D212,旧テーブル一覧!$A$2:$B$332,2,FALSE)),"",VLOOKUP(D212,旧テーブル一覧!$A$2:$B$332,2,FALSE))</f>
        <v/>
      </c>
    </row>
    <row r="213" spans="3:3" x14ac:dyDescent="0.15">
      <c r="C213" t="str">
        <f>IF(ISNA( VLOOKUP(D213,旧テーブル一覧!$A$2:$B$332,2,FALSE)),"",VLOOKUP(D213,旧テーブル一覧!$A$2:$B$332,2,FALSE))</f>
        <v/>
      </c>
    </row>
    <row r="214" spans="3:3" x14ac:dyDescent="0.15">
      <c r="C214" t="str">
        <f>IF(ISNA( VLOOKUP(D214,旧テーブル一覧!$A$2:$B$332,2,FALSE)),"",VLOOKUP(D214,旧テーブル一覧!$A$2:$B$332,2,FALSE))</f>
        <v/>
      </c>
    </row>
    <row r="215" spans="3:3" x14ac:dyDescent="0.15">
      <c r="C215" t="str">
        <f>IF(ISNA( VLOOKUP(D215,旧テーブル一覧!$A$2:$B$332,2,FALSE)),"",VLOOKUP(D215,旧テーブル一覧!$A$2:$B$332,2,FALSE))</f>
        <v/>
      </c>
    </row>
    <row r="216" spans="3:3" x14ac:dyDescent="0.15">
      <c r="C216" t="str">
        <f>IF(ISNA( VLOOKUP(D216,旧テーブル一覧!$A$2:$B$332,2,FALSE)),"",VLOOKUP(D216,旧テーブル一覧!$A$2:$B$332,2,FALSE))</f>
        <v/>
      </c>
    </row>
    <row r="217" spans="3:3" x14ac:dyDescent="0.15">
      <c r="C217" t="str">
        <f>IF(ISNA( VLOOKUP(D217,旧テーブル一覧!$A$2:$B$332,2,FALSE)),"",VLOOKUP(D217,旧テーブル一覧!$A$2:$B$332,2,FALSE))</f>
        <v/>
      </c>
    </row>
    <row r="218" spans="3:3" x14ac:dyDescent="0.15">
      <c r="C218" t="str">
        <f>IF(ISNA( VLOOKUP(D218,旧テーブル一覧!$A$2:$B$332,2,FALSE)),"",VLOOKUP(D218,旧テーブル一覧!$A$2:$B$332,2,FALSE))</f>
        <v/>
      </c>
    </row>
    <row r="219" spans="3:3" x14ac:dyDescent="0.15">
      <c r="C219" t="str">
        <f>IF(ISNA( VLOOKUP(D219,旧テーブル一覧!$A$2:$B$332,2,FALSE)),"",VLOOKUP(D219,旧テーブル一覧!$A$2:$B$332,2,FALSE))</f>
        <v/>
      </c>
    </row>
    <row r="220" spans="3:3" x14ac:dyDescent="0.15">
      <c r="C220" t="str">
        <f>IF(ISNA( VLOOKUP(D220,旧テーブル一覧!$A$2:$B$332,2,FALSE)),"",VLOOKUP(D220,旧テーブル一覧!$A$2:$B$332,2,FALSE))</f>
        <v/>
      </c>
    </row>
    <row r="221" spans="3:3" x14ac:dyDescent="0.15">
      <c r="C221" t="str">
        <f>IF(ISNA( VLOOKUP(D221,旧テーブル一覧!$A$2:$B$332,2,FALSE)),"",VLOOKUP(D221,旧テーブル一覧!$A$2:$B$332,2,FALSE))</f>
        <v/>
      </c>
    </row>
    <row r="222" spans="3:3" x14ac:dyDescent="0.15">
      <c r="C222" t="str">
        <f>IF(ISNA( VLOOKUP(D222,旧テーブル一覧!$A$2:$B$332,2,FALSE)),"",VLOOKUP(D222,旧テーブル一覧!$A$2:$B$332,2,FALSE))</f>
        <v/>
      </c>
    </row>
    <row r="223" spans="3:3" x14ac:dyDescent="0.15">
      <c r="C223" t="str">
        <f>IF(ISNA( VLOOKUP(D223,旧テーブル一覧!$A$2:$B$332,2,FALSE)),"",VLOOKUP(D223,旧テーブル一覧!$A$2:$B$332,2,FALSE))</f>
        <v/>
      </c>
    </row>
    <row r="224" spans="3:3" x14ac:dyDescent="0.15">
      <c r="C224" t="str">
        <f>IF(ISNA( VLOOKUP(D224,旧テーブル一覧!$A$2:$B$332,2,FALSE)),"",VLOOKUP(D224,旧テーブル一覧!$A$2:$B$332,2,FALSE))</f>
        <v/>
      </c>
    </row>
    <row r="225" spans="3:3" x14ac:dyDescent="0.15">
      <c r="C225" t="str">
        <f>IF(ISNA( VLOOKUP(D225,旧テーブル一覧!$A$2:$B$332,2,FALSE)),"",VLOOKUP(D225,旧テーブル一覧!$A$2:$B$332,2,FALSE))</f>
        <v/>
      </c>
    </row>
    <row r="226" spans="3:3" x14ac:dyDescent="0.15">
      <c r="C226" t="str">
        <f>IF(ISNA( VLOOKUP(D226,旧テーブル一覧!$A$2:$B$332,2,FALSE)),"",VLOOKUP(D226,旧テーブル一覧!$A$2:$B$332,2,FALSE))</f>
        <v/>
      </c>
    </row>
    <row r="227" spans="3:3" x14ac:dyDescent="0.15">
      <c r="C227" t="str">
        <f>IF(ISNA( VLOOKUP(D227,旧テーブル一覧!$A$2:$B$332,2,FALSE)),"",VLOOKUP(D227,旧テーブル一覧!$A$2:$B$332,2,FALSE))</f>
        <v/>
      </c>
    </row>
    <row r="228" spans="3:3" x14ac:dyDescent="0.15">
      <c r="C228" t="str">
        <f>IF(ISNA( VLOOKUP(D228,旧テーブル一覧!$A$2:$B$332,2,FALSE)),"",VLOOKUP(D228,旧テーブル一覧!$A$2:$B$332,2,FALSE))</f>
        <v/>
      </c>
    </row>
    <row r="229" spans="3:3" x14ac:dyDescent="0.15">
      <c r="C229" t="str">
        <f>IF(ISNA( VLOOKUP(D229,旧テーブル一覧!$A$2:$B$332,2,FALSE)),"",VLOOKUP(D229,旧テーブル一覧!$A$2:$B$332,2,FALSE))</f>
        <v/>
      </c>
    </row>
    <row r="230" spans="3:3" x14ac:dyDescent="0.15">
      <c r="C230" t="str">
        <f>IF(ISNA( VLOOKUP(D230,旧テーブル一覧!$A$2:$B$332,2,FALSE)),"",VLOOKUP(D230,旧テーブル一覧!$A$2:$B$332,2,FALSE))</f>
        <v/>
      </c>
    </row>
    <row r="231" spans="3:3" x14ac:dyDescent="0.15">
      <c r="C231" t="str">
        <f>IF(ISNA( VLOOKUP(D231,旧テーブル一覧!$A$2:$B$332,2,FALSE)),"",VLOOKUP(D231,旧テーブル一覧!$A$2:$B$332,2,FALSE))</f>
        <v/>
      </c>
    </row>
    <row r="232" spans="3:3" x14ac:dyDescent="0.15">
      <c r="C232" t="str">
        <f>IF(ISNA( VLOOKUP(D232,旧テーブル一覧!$A$2:$B$332,2,FALSE)),"",VLOOKUP(D232,旧テーブル一覧!$A$2:$B$332,2,FALSE))</f>
        <v/>
      </c>
    </row>
    <row r="233" spans="3:3" x14ac:dyDescent="0.15">
      <c r="C233" t="str">
        <f>IF(ISNA( VLOOKUP(D233,旧テーブル一覧!$A$2:$B$332,2,FALSE)),"",VLOOKUP(D233,旧テーブル一覧!$A$2:$B$332,2,FALSE))</f>
        <v/>
      </c>
    </row>
    <row r="234" spans="3:3" x14ac:dyDescent="0.15">
      <c r="C234" t="str">
        <f>IF(ISNA( VLOOKUP(D234,旧テーブル一覧!$A$2:$B$332,2,FALSE)),"",VLOOKUP(D234,旧テーブル一覧!$A$2:$B$332,2,FALSE))</f>
        <v/>
      </c>
    </row>
    <row r="235" spans="3:3" x14ac:dyDescent="0.15">
      <c r="C235" t="str">
        <f>IF(ISNA( VLOOKUP(D235,旧テーブル一覧!$A$2:$B$332,2,FALSE)),"",VLOOKUP(D235,旧テーブル一覧!$A$2:$B$332,2,FALSE))</f>
        <v/>
      </c>
    </row>
    <row r="236" spans="3:3" x14ac:dyDescent="0.15">
      <c r="C236" t="str">
        <f>IF(ISNA( VLOOKUP(D236,旧テーブル一覧!$A$2:$B$332,2,FALSE)),"",VLOOKUP(D236,旧テーブル一覧!$A$2:$B$332,2,FALSE))</f>
        <v/>
      </c>
    </row>
    <row r="237" spans="3:3" x14ac:dyDescent="0.15">
      <c r="C237" t="str">
        <f>IF(ISNA( VLOOKUP(D237,旧テーブル一覧!$A$2:$B$332,2,FALSE)),"",VLOOKUP(D237,旧テーブル一覧!$A$2:$B$332,2,FALSE))</f>
        <v/>
      </c>
    </row>
    <row r="238" spans="3:3" x14ac:dyDescent="0.15">
      <c r="C238" t="str">
        <f>IF(ISNA( VLOOKUP(D238,旧テーブル一覧!$A$2:$B$332,2,FALSE)),"",VLOOKUP(D238,旧テーブル一覧!$A$2:$B$332,2,FALSE))</f>
        <v/>
      </c>
    </row>
    <row r="239" spans="3:3" x14ac:dyDescent="0.15">
      <c r="C239" t="str">
        <f>IF(ISNA( VLOOKUP(D239,旧テーブル一覧!$A$2:$B$332,2,FALSE)),"",VLOOKUP(D239,旧テーブル一覧!$A$2:$B$332,2,FALSE))</f>
        <v/>
      </c>
    </row>
    <row r="240" spans="3:3" x14ac:dyDescent="0.15">
      <c r="C240" t="str">
        <f>IF(ISNA( VLOOKUP(D240,旧テーブル一覧!$A$2:$B$332,2,FALSE)),"",VLOOKUP(D240,旧テーブル一覧!$A$2:$B$332,2,FALSE))</f>
        <v/>
      </c>
    </row>
    <row r="241" spans="3:3" x14ac:dyDescent="0.15">
      <c r="C241" t="str">
        <f>IF(ISNA( VLOOKUP(D241,旧テーブル一覧!$A$2:$B$332,2,FALSE)),"",VLOOKUP(D241,旧テーブル一覧!$A$2:$B$332,2,FALSE))</f>
        <v/>
      </c>
    </row>
    <row r="242" spans="3:3" x14ac:dyDescent="0.15">
      <c r="C242" t="str">
        <f>IF(ISNA( VLOOKUP(D242,旧テーブル一覧!$A$2:$B$332,2,FALSE)),"",VLOOKUP(D242,旧テーブル一覧!$A$2:$B$332,2,FALSE))</f>
        <v/>
      </c>
    </row>
    <row r="243" spans="3:3" x14ac:dyDescent="0.15">
      <c r="C243" t="str">
        <f>IF(ISNA( VLOOKUP(D243,旧テーブル一覧!$A$2:$B$332,2,FALSE)),"",VLOOKUP(D243,旧テーブル一覧!$A$2:$B$332,2,FALSE))</f>
        <v/>
      </c>
    </row>
    <row r="244" spans="3:3" x14ac:dyDescent="0.15">
      <c r="C244" t="str">
        <f>IF(ISNA( VLOOKUP(D244,旧テーブル一覧!$A$2:$B$332,2,FALSE)),"",VLOOKUP(D244,旧テーブル一覧!$A$2:$B$332,2,FALSE))</f>
        <v/>
      </c>
    </row>
    <row r="245" spans="3:3" x14ac:dyDescent="0.15">
      <c r="C245" t="str">
        <f>IF(ISNA( VLOOKUP(D245,旧テーブル一覧!$A$2:$B$332,2,FALSE)),"",VLOOKUP(D245,旧テーブル一覧!$A$2:$B$332,2,FALSE))</f>
        <v/>
      </c>
    </row>
    <row r="246" spans="3:3" x14ac:dyDescent="0.15">
      <c r="C246" t="str">
        <f>IF(ISNA( VLOOKUP(D246,旧テーブル一覧!$A$2:$B$332,2,FALSE)),"",VLOOKUP(D246,旧テーブル一覧!$A$2:$B$332,2,FALSE))</f>
        <v/>
      </c>
    </row>
    <row r="247" spans="3:3" x14ac:dyDescent="0.15">
      <c r="C247" t="str">
        <f>IF(ISNA( VLOOKUP(D247,旧テーブル一覧!$A$2:$B$332,2,FALSE)),"",VLOOKUP(D247,旧テーブル一覧!$A$2:$B$332,2,FALSE))</f>
        <v/>
      </c>
    </row>
    <row r="248" spans="3:3" x14ac:dyDescent="0.15">
      <c r="C248" t="str">
        <f>IF(ISNA( VLOOKUP(D248,旧テーブル一覧!$A$2:$B$332,2,FALSE)),"",VLOOKUP(D248,旧テーブル一覧!$A$2:$B$332,2,FALSE))</f>
        <v/>
      </c>
    </row>
    <row r="249" spans="3:3" x14ac:dyDescent="0.15">
      <c r="C249" t="str">
        <f>IF(ISNA( VLOOKUP(D249,旧テーブル一覧!$A$2:$B$332,2,FALSE)),"",VLOOKUP(D249,旧テーブル一覧!$A$2:$B$332,2,FALSE))</f>
        <v/>
      </c>
    </row>
    <row r="250" spans="3:3" x14ac:dyDescent="0.15">
      <c r="C250" t="str">
        <f>IF(ISNA( VLOOKUP(D250,旧テーブル一覧!$A$2:$B$332,2,FALSE)),"",VLOOKUP(D250,旧テーブル一覧!$A$2:$B$332,2,FALSE))</f>
        <v/>
      </c>
    </row>
    <row r="251" spans="3:3" x14ac:dyDescent="0.15">
      <c r="C251" t="str">
        <f>IF(ISNA( VLOOKUP(D251,旧テーブル一覧!$A$2:$B$332,2,FALSE)),"",VLOOKUP(D251,旧テーブル一覧!$A$2:$B$332,2,FALSE))</f>
        <v/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83"/>
  <sheetViews>
    <sheetView topLeftCell="A34" workbookViewId="0">
      <selection activeCell="D55" sqref="D55"/>
    </sheetView>
  </sheetViews>
  <sheetFormatPr defaultRowHeight="13.5" x14ac:dyDescent="0.15"/>
  <cols>
    <col min="2" max="2" width="17.5" customWidth="1"/>
    <col min="3" max="3" width="46.625" bestFit="1" customWidth="1"/>
    <col min="4" max="4" width="84.75" bestFit="1" customWidth="1"/>
    <col min="5" max="5" width="46.625" bestFit="1" customWidth="1"/>
  </cols>
  <sheetData>
    <row r="1" spans="1:5" x14ac:dyDescent="0.15">
      <c r="A1" t="s">
        <v>5</v>
      </c>
      <c r="B1" t="s">
        <v>4</v>
      </c>
      <c r="C1" t="s">
        <v>0</v>
      </c>
      <c r="D1" t="s">
        <v>1</v>
      </c>
      <c r="E1" t="s">
        <v>2</v>
      </c>
    </row>
    <row r="2" spans="1:5" x14ac:dyDescent="0.15">
      <c r="A2">
        <f>ROW()-1</f>
        <v>1</v>
      </c>
      <c r="B2" t="s">
        <v>140</v>
      </c>
      <c r="C2" t="str">
        <f>IF(ISNA( VLOOKUP(D2,テーブル一覧2!$A$2:$B$505,2,FALSE)),"",VLOOKUP(D2,テーブル一覧2!$A$2:$B$505,2,FALSE))</f>
        <v>生産計画</v>
      </c>
      <c r="D2" s="1" t="s">
        <v>306</v>
      </c>
      <c r="E2" t="str">
        <f>PRODUCTION_TABLELIST[[#This Row],[テーブル名]]</f>
        <v>生産計画</v>
      </c>
    </row>
    <row r="3" spans="1:5" x14ac:dyDescent="0.15">
      <c r="A3">
        <f t="shared" ref="A3:A83" si="0">ROW()-1</f>
        <v>2</v>
      </c>
      <c r="B3" t="s">
        <v>140</v>
      </c>
      <c r="C3" t="str">
        <f>IF(ISNA( VLOOKUP(D3,テーブル一覧2!$A$2:$B$505,2,FALSE)),"",VLOOKUP(D3,テーブル一覧2!$A$2:$B$505,2,FALSE))</f>
        <v>生産計画－品種付属情報</v>
      </c>
      <c r="D3" s="1" t="s">
        <v>951</v>
      </c>
      <c r="E3" t="str">
        <f>PRODUCTION_TABLELIST[[#This Row],[テーブル名]]</f>
        <v>生産計画－品種付属情報</v>
      </c>
    </row>
    <row r="4" spans="1:5" x14ac:dyDescent="0.15">
      <c r="A4">
        <f t="shared" si="0"/>
        <v>3</v>
      </c>
      <c r="B4" t="s">
        <v>140</v>
      </c>
      <c r="C4" t="str">
        <f>IF(ISNA( VLOOKUP(D4,テーブル一覧2!$A$2:$B$505,2,FALSE)),"",VLOOKUP(D4,テーブル一覧2!$A$2:$B$505,2,FALSE))</f>
        <v>生産計画－生産実績基本</v>
      </c>
      <c r="D4" s="6" t="s">
        <v>1020</v>
      </c>
      <c r="E4" t="str">
        <f>PRODUCTION_TABLELIST[[#This Row],[テーブル名]]</f>
        <v>生産計画－生産実績基本</v>
      </c>
    </row>
    <row r="5" spans="1:5" x14ac:dyDescent="0.15">
      <c r="A5">
        <f t="shared" si="0"/>
        <v>4</v>
      </c>
      <c r="B5" t="s">
        <v>140</v>
      </c>
      <c r="C5" t="str">
        <f>IF(ISNA( VLOOKUP(D5,テーブル一覧2!$A$2:$B$505,2,FALSE)),"",VLOOKUP(D5,テーブル一覧2!$A$2:$B$505,2,FALSE))</f>
        <v>生産計画－生産実績基本－生産パラメータ</v>
      </c>
      <c r="D5" s="6" t="s">
        <v>697</v>
      </c>
      <c r="E5" t="str">
        <f>PRODUCTION_TABLELIST[[#This Row],[テーブル名]]</f>
        <v>生産計画－生産実績基本－生産パラメータ</v>
      </c>
    </row>
    <row r="6" spans="1:5" x14ac:dyDescent="0.15">
      <c r="A6">
        <f t="shared" si="0"/>
        <v>5</v>
      </c>
      <c r="B6" t="s">
        <v>140</v>
      </c>
      <c r="C6" t="str">
        <f>IF(ISNA( VLOOKUP(D6,テーブル一覧2!$A$2:$B$505,2,FALSE)),"",VLOOKUP(D6,テーブル一覧2!$A$2:$B$505,2,FALSE))</f>
        <v>生産計画－生産実績基本－生産パラメータ－計画値</v>
      </c>
      <c r="D6" s="5" t="s">
        <v>1021</v>
      </c>
      <c r="E6" t="str">
        <f>PRODUCTION_TABLELIST[[#This Row],[テーブル名]]</f>
        <v>生産計画－生産実績基本－生産パラメータ－計画値</v>
      </c>
    </row>
    <row r="7" spans="1:5" x14ac:dyDescent="0.15">
      <c r="A7">
        <f t="shared" si="0"/>
        <v>6</v>
      </c>
      <c r="B7" t="s">
        <v>140</v>
      </c>
      <c r="C7" t="str">
        <f>IF(ISNA( VLOOKUP(D7,テーブル一覧2!$A$2:$B$505,2,FALSE)),"",VLOOKUP(D7,テーブル一覧2!$A$2:$B$505,2,FALSE))</f>
        <v>生産計画－生産実績段取</v>
      </c>
      <c r="D7" s="4" t="s">
        <v>1022</v>
      </c>
      <c r="E7" t="str">
        <f>PRODUCTION_TABLELIST[[#This Row],[テーブル名]]</f>
        <v>生産計画－生産実績段取</v>
      </c>
    </row>
    <row r="8" spans="1:5" x14ac:dyDescent="0.15">
      <c r="A8">
        <f t="shared" si="0"/>
        <v>7</v>
      </c>
      <c r="B8" t="s">
        <v>140</v>
      </c>
      <c r="C8" t="str">
        <f>IF(ISNA( VLOOKUP(D8,テーブル一覧2!$A$2:$B$505,2,FALSE)),"",VLOOKUP(D8,テーブル一覧2!$A$2:$B$505,2,FALSE))</f>
        <v>生産計画－生産実績段取－項目</v>
      </c>
      <c r="D8" s="5" t="s">
        <v>1023</v>
      </c>
      <c r="E8" t="str">
        <f>PRODUCTION_TABLELIST[[#This Row],[テーブル名]]</f>
        <v>生産計画－生産実績段取－項目</v>
      </c>
    </row>
    <row r="9" spans="1:5" x14ac:dyDescent="0.15">
      <c r="A9">
        <f t="shared" si="0"/>
        <v>8</v>
      </c>
      <c r="B9" t="s">
        <v>140</v>
      </c>
      <c r="C9" t="str">
        <f>IF(ISNA( VLOOKUP(D9,テーブル一覧2!$A$2:$B$505,2,FALSE)),"",VLOOKUP(D9,テーブル一覧2!$A$2:$B$505,2,FALSE))</f>
        <v>生産計画－工程分類</v>
      </c>
      <c r="D9" s="4" t="s">
        <v>1024</v>
      </c>
      <c r="E9" t="str">
        <f>PRODUCTION_TABLELIST[[#This Row],[テーブル名]]</f>
        <v>生産計画－工程分類</v>
      </c>
    </row>
    <row r="10" spans="1:5" x14ac:dyDescent="0.15">
      <c r="A10">
        <f t="shared" si="0"/>
        <v>9</v>
      </c>
      <c r="B10" t="s">
        <v>140</v>
      </c>
      <c r="C10" t="str">
        <f>IF(ISNA( VLOOKUP(D10,テーブル一覧2!$A$2:$B$505,2,FALSE)),"",VLOOKUP(D10,テーブル一覧2!$A$2:$B$505,2,FALSE))</f>
        <v>生産計画－工程分類－工程</v>
      </c>
      <c r="D10" s="5" t="s">
        <v>1025</v>
      </c>
      <c r="E10" t="str">
        <f>PRODUCTION_TABLELIST[[#This Row],[テーブル名]]</f>
        <v>生産計画－工程分類－工程</v>
      </c>
    </row>
    <row r="11" spans="1:5" x14ac:dyDescent="0.15">
      <c r="A11">
        <f t="shared" si="0"/>
        <v>10</v>
      </c>
      <c r="B11" t="s">
        <v>140</v>
      </c>
      <c r="C11" t="str">
        <f>IF(ISNA( VLOOKUP(D11,テーブル一覧2!$A$2:$B$505,2,FALSE)),"",VLOOKUP(D11,テーブル一覧2!$A$2:$B$505,2,FALSE))</f>
        <v>生産計画－工程－生産実績基本－生産パラメータ</v>
      </c>
      <c r="D11" s="6" t="s">
        <v>715</v>
      </c>
      <c r="E11" t="str">
        <f>PRODUCTION_TABLELIST[[#This Row],[テーブル名]]</f>
        <v>生産計画－工程－生産実績基本－生産パラメータ</v>
      </c>
    </row>
    <row r="12" spans="1:5" x14ac:dyDescent="0.15">
      <c r="A12">
        <f t="shared" si="0"/>
        <v>11</v>
      </c>
      <c r="B12" t="s">
        <v>140</v>
      </c>
      <c r="C12" t="str">
        <f>IF(ISNA( VLOOKUP(D12,テーブル一覧2!$A$2:$B$505,2,FALSE)),"",VLOOKUP(D12,テーブル一覧2!$A$2:$B$505,2,FALSE))</f>
        <v>生産計画－工程－生産実績基本－工程履歴－発生内訳</v>
      </c>
      <c r="D12" s="1" t="s">
        <v>1026</v>
      </c>
      <c r="E12" t="str">
        <f>PRODUCTION_TABLELIST[[#This Row],[テーブル名]]</f>
        <v>生産計画－工程－生産実績基本－工程履歴－発生内訳</v>
      </c>
    </row>
    <row r="13" spans="1:5" x14ac:dyDescent="0.15">
      <c r="A13">
        <f t="shared" si="0"/>
        <v>12</v>
      </c>
      <c r="B13" t="s">
        <v>140</v>
      </c>
      <c r="C13" t="str">
        <f>IF(ISNA( VLOOKUP(D13,テーブル一覧2!$A$2:$B$505,2,FALSE)),"",VLOOKUP(D13,テーブル一覧2!$A$2:$B$505,2,FALSE))</f>
        <v>生産計画－工程－生産実績基本－ロット管理</v>
      </c>
      <c r="D13" s="6" t="s">
        <v>721</v>
      </c>
      <c r="E13" t="str">
        <f>PRODUCTION_TABLELIST[[#This Row],[テーブル名]]</f>
        <v>生産計画－工程－生産実績基本－ロット管理</v>
      </c>
    </row>
    <row r="14" spans="1:5" x14ac:dyDescent="0.15">
      <c r="A14">
        <f t="shared" si="0"/>
        <v>13</v>
      </c>
      <c r="B14" t="s">
        <v>140</v>
      </c>
      <c r="C14" t="str">
        <f>IF(ISNA( VLOOKUP(D14,テーブル一覧2!$A$2:$B$505,2,FALSE)),"",VLOOKUP(D14,テーブル一覧2!$A$2:$B$505,2,FALSE))</f>
        <v>生産計画－工程－生産実績基本－ロット管理－計画値</v>
      </c>
      <c r="D14" s="6" t="s">
        <v>723</v>
      </c>
      <c r="E14" t="str">
        <f>PRODUCTION_TABLELIST[[#This Row],[テーブル名]]</f>
        <v>生産計画－工程－生産実績基本－ロット管理－計画値</v>
      </c>
    </row>
    <row r="15" spans="1:5" x14ac:dyDescent="0.15">
      <c r="A15">
        <f t="shared" si="0"/>
        <v>14</v>
      </c>
      <c r="B15" t="s">
        <v>140</v>
      </c>
      <c r="C15" t="str">
        <f>IF(ISNA( VLOOKUP(D15,テーブル一覧2!$A$2:$B$505,2,FALSE)),"",VLOOKUP(D15,テーブル一覧2!$A$2:$B$505,2,FALSE))</f>
        <v>生産計画－工程－生産実績構成</v>
      </c>
      <c r="D15" s="6" t="s">
        <v>724</v>
      </c>
      <c r="E15" t="str">
        <f>PRODUCTION_TABLELIST[[#This Row],[テーブル名]]</f>
        <v>生産計画－工程－生産実績構成</v>
      </c>
    </row>
    <row r="16" spans="1:5" x14ac:dyDescent="0.15">
      <c r="A16">
        <f t="shared" si="0"/>
        <v>15</v>
      </c>
      <c r="B16" t="s">
        <v>140</v>
      </c>
      <c r="C16" t="str">
        <f>IF(ISNA( VLOOKUP(D16,テーブル一覧2!$A$2:$B$505,2,FALSE)),"",VLOOKUP(D16,テーブル一覧2!$A$2:$B$505,2,FALSE))</f>
        <v>生産計画－工程－生産実績構成－項目</v>
      </c>
      <c r="D16" s="6" t="s">
        <v>726</v>
      </c>
      <c r="E16" t="str">
        <f>PRODUCTION_TABLELIST[[#This Row],[テーブル名]]</f>
        <v>生産計画－工程－生産実績構成－項目</v>
      </c>
    </row>
    <row r="17" spans="1:5" x14ac:dyDescent="0.15">
      <c r="A17">
        <f t="shared" si="0"/>
        <v>16</v>
      </c>
      <c r="B17" t="s">
        <v>140</v>
      </c>
      <c r="C17" t="str">
        <f>IF(ISNA( VLOOKUP(D17,テーブル一覧2!$A$2:$B$505,2,FALSE)),"",VLOOKUP(D17,テーブル一覧2!$A$2:$B$505,2,FALSE))</f>
        <v>生産計画－工程－生産実績構成－項目－計画値</v>
      </c>
      <c r="D17" s="1" t="s">
        <v>1027</v>
      </c>
      <c r="E17" t="str">
        <f>PRODUCTION_TABLELIST[[#This Row],[テーブル名]]</f>
        <v>生産計画－工程－生産実績構成－項目－計画値</v>
      </c>
    </row>
    <row r="18" spans="1:5" x14ac:dyDescent="0.15">
      <c r="A18">
        <f t="shared" si="0"/>
        <v>17</v>
      </c>
      <c r="B18" t="s">
        <v>140</v>
      </c>
      <c r="C18" t="str">
        <f>IF(ISNA( VLOOKUP(D18,テーブル一覧2!$A$2:$B$505,2,FALSE)),"",VLOOKUP(D18,テーブル一覧2!$A$2:$B$505,2,FALSE))</f>
        <v>生産計画－工程－生産実績作業</v>
      </c>
      <c r="D18" s="1" t="s">
        <v>1028</v>
      </c>
      <c r="E18" t="str">
        <f>PRODUCTION_TABLELIST[[#This Row],[テーブル名]]</f>
        <v>生産計画－工程－生産実績作業</v>
      </c>
    </row>
    <row r="19" spans="1:5" x14ac:dyDescent="0.15">
      <c r="A19">
        <f t="shared" si="0"/>
        <v>18</v>
      </c>
      <c r="B19" t="s">
        <v>140</v>
      </c>
      <c r="C19" t="str">
        <f>IF(ISNA( VLOOKUP(D19,テーブル一覧2!$A$2:$B$505,2,FALSE)),"",VLOOKUP(D19,テーブル一覧2!$A$2:$B$505,2,FALSE))</f>
        <v>生産計画－工程－生産実績作業－項目</v>
      </c>
      <c r="D19" s="6" t="s">
        <v>732</v>
      </c>
      <c r="E19" t="str">
        <f>PRODUCTION_TABLELIST[[#This Row],[テーブル名]]</f>
        <v>生産計画－工程－生産実績作業－項目</v>
      </c>
    </row>
    <row r="20" spans="1:5" x14ac:dyDescent="0.15">
      <c r="A20">
        <f t="shared" si="0"/>
        <v>19</v>
      </c>
      <c r="B20" t="s">
        <v>140</v>
      </c>
      <c r="C20" t="str">
        <f>IF(ISNA( VLOOKUP(D20,テーブル一覧2!$A$2:$B$505,2,FALSE)),"",VLOOKUP(D20,テーブル一覧2!$A$2:$B$505,2,FALSE))</f>
        <v>生産計画－工程－生産実績検査</v>
      </c>
      <c r="D20" s="6" t="s">
        <v>1029</v>
      </c>
      <c r="E20" t="str">
        <f>PRODUCTION_TABLELIST[[#This Row],[テーブル名]]</f>
        <v>生産計画－工程－生産実績検査</v>
      </c>
    </row>
    <row r="21" spans="1:5" x14ac:dyDescent="0.15">
      <c r="A21">
        <f t="shared" si="0"/>
        <v>20</v>
      </c>
      <c r="B21" t="s">
        <v>140</v>
      </c>
      <c r="C21" t="str">
        <f>IF(ISNA( VLOOKUP(D21,テーブル一覧2!$A$2:$B$505,2,FALSE)),"",VLOOKUP(D21,テーブル一覧2!$A$2:$B$505,2,FALSE))</f>
        <v>生産計画－工程－生産実績検査－項目</v>
      </c>
      <c r="D21" s="6" t="s">
        <v>1044</v>
      </c>
      <c r="E21" t="str">
        <f>PRODUCTION_TABLELIST[[#This Row],[テーブル名]]</f>
        <v>生産計画－工程－生産実績検査－項目</v>
      </c>
    </row>
    <row r="22" spans="1:5" x14ac:dyDescent="0.15">
      <c r="A22">
        <f t="shared" si="0"/>
        <v>21</v>
      </c>
      <c r="B22" t="s">
        <v>140</v>
      </c>
      <c r="C22" t="str">
        <f>IF(ISNA( VLOOKUP(D22,テーブル一覧2!$A$2:$B$505,2,FALSE)),"",VLOOKUP(D22,テーブル一覧2!$A$2:$B$505,2,FALSE))</f>
        <v>生産計画－工程－生産実績検査－項目－計画値</v>
      </c>
      <c r="D22" s="6" t="s">
        <v>740</v>
      </c>
      <c r="E22" t="str">
        <f>PRODUCTION_TABLELIST[[#This Row],[テーブル名]]</f>
        <v>生産計画－工程－生産実績検査－項目－計画値</v>
      </c>
    </row>
    <row r="23" spans="1:5" x14ac:dyDescent="0.15">
      <c r="A23">
        <f t="shared" si="0"/>
        <v>22</v>
      </c>
      <c r="B23" t="s">
        <v>140</v>
      </c>
      <c r="C23" t="str">
        <f>IF(ISNA( VLOOKUP(D23,テーブル一覧2!$A$2:$B$505,2,FALSE)),"",VLOOKUP(D23,テーブル一覧2!$A$2:$B$505,2,FALSE))</f>
        <v>生産計画－工程－生産実績検査－項目－条件</v>
      </c>
      <c r="D23" s="6" t="s">
        <v>1030</v>
      </c>
      <c r="E23" t="str">
        <f>PRODUCTION_TABLELIST[[#This Row],[テーブル名]]</f>
        <v>生産計画－工程－生産実績検査－項目－条件</v>
      </c>
    </row>
    <row r="24" spans="1:5" x14ac:dyDescent="0.15">
      <c r="A24">
        <f t="shared" si="0"/>
        <v>23</v>
      </c>
      <c r="B24" t="s">
        <v>140</v>
      </c>
      <c r="C24" t="str">
        <f>IF(ISNA( VLOOKUP(D24,テーブル一覧2!$A$2:$B$505,2,FALSE)),"",VLOOKUP(D24,テーブル一覧2!$A$2:$B$505,2,FALSE))</f>
        <v>生産計画－工程－生産実績検査－項目－条件－計画値</v>
      </c>
      <c r="D24" s="6" t="s">
        <v>746</v>
      </c>
      <c r="E24" t="str">
        <f>PRODUCTION_TABLELIST[[#This Row],[テーブル名]]</f>
        <v>生産計画－工程－生産実績検査－項目－条件－計画値</v>
      </c>
    </row>
    <row r="25" spans="1:5" x14ac:dyDescent="0.15">
      <c r="A25">
        <f t="shared" si="0"/>
        <v>24</v>
      </c>
      <c r="B25" t="s">
        <v>140</v>
      </c>
      <c r="C25" t="str">
        <f>IF(ISNA( VLOOKUP(D25,テーブル一覧2!$A$2:$B$505,2,FALSE)),"",VLOOKUP(D25,テーブル一覧2!$A$2:$B$505,2,FALSE))</f>
        <v>生産計画－工程－生産実績測定</v>
      </c>
      <c r="D25" s="6" t="s">
        <v>747</v>
      </c>
      <c r="E25" t="str">
        <f>PRODUCTION_TABLELIST[[#This Row],[テーブル名]]</f>
        <v>生産計画－工程－生産実績測定</v>
      </c>
    </row>
    <row r="26" spans="1:5" x14ac:dyDescent="0.15">
      <c r="A26">
        <f t="shared" si="0"/>
        <v>25</v>
      </c>
      <c r="B26" t="s">
        <v>140</v>
      </c>
      <c r="C26" t="str">
        <f>IF(ISNA( VLOOKUP(D26,テーブル一覧2!$A$2:$B$505,2,FALSE)),"",VLOOKUP(D26,テーブル一覧2!$A$2:$B$505,2,FALSE))</f>
        <v>生産計画－工程－生産実績測定－項目</v>
      </c>
      <c r="D26" s="6" t="s">
        <v>749</v>
      </c>
      <c r="E26" t="str">
        <f>PRODUCTION_TABLELIST[[#This Row],[テーブル名]]</f>
        <v>生産計画－工程－生産実績測定－項目</v>
      </c>
    </row>
    <row r="27" spans="1:5" x14ac:dyDescent="0.15">
      <c r="A27">
        <f t="shared" si="0"/>
        <v>26</v>
      </c>
      <c r="B27" t="s">
        <v>140</v>
      </c>
      <c r="C27" t="str">
        <f>IF(ISNA( VLOOKUP(D27,テーブル一覧2!$A$2:$B$505,2,FALSE)),"",VLOOKUP(D27,テーブル一覧2!$A$2:$B$505,2,FALSE))</f>
        <v>生産計画－工程－生産実績測定－項目－計画値</v>
      </c>
      <c r="D27" s="6" t="s">
        <v>752</v>
      </c>
      <c r="E27" t="str">
        <f>PRODUCTION_TABLELIST[[#This Row],[テーブル名]]</f>
        <v>生産計画－工程－生産実績測定－項目－計画値</v>
      </c>
    </row>
    <row r="28" spans="1:5" x14ac:dyDescent="0.15">
      <c r="A28">
        <f t="shared" si="0"/>
        <v>27</v>
      </c>
      <c r="B28" t="s">
        <v>140</v>
      </c>
      <c r="C28" t="str">
        <f>IF(ISNA( VLOOKUP(D28,テーブル一覧2!$A$2:$B$505,2,FALSE)),"",VLOOKUP(D28,テーブル一覧2!$A$2:$B$505,2,FALSE))</f>
        <v>生産計画－工程－生産実績測定－項目－条件</v>
      </c>
      <c r="D28" s="1" t="s">
        <v>1031</v>
      </c>
      <c r="E28" t="str">
        <f>PRODUCTION_TABLELIST[[#This Row],[テーブル名]]</f>
        <v>生産計画－工程－生産実績測定－項目－条件</v>
      </c>
    </row>
    <row r="29" spans="1:5" x14ac:dyDescent="0.15">
      <c r="A29">
        <f t="shared" si="0"/>
        <v>28</v>
      </c>
      <c r="B29" t="s">
        <v>140</v>
      </c>
      <c r="C29" t="str">
        <f>IF(ISNA( VLOOKUP(D29,テーブル一覧2!$A$2:$B$505,2,FALSE)),"",VLOOKUP(D29,テーブル一覧2!$A$2:$B$505,2,FALSE))</f>
        <v>生産計画－工程－生産実績測定－項目－条件－計画値</v>
      </c>
      <c r="D29" s="6" t="s">
        <v>756</v>
      </c>
      <c r="E29" t="str">
        <f>PRODUCTION_TABLELIST[[#This Row],[テーブル名]]</f>
        <v>生産計画－工程－生産実績測定－項目－条件－計画値</v>
      </c>
    </row>
    <row r="30" spans="1:5" x14ac:dyDescent="0.15">
      <c r="A30">
        <f t="shared" si="0"/>
        <v>29</v>
      </c>
      <c r="B30" t="s">
        <v>140</v>
      </c>
      <c r="C30" t="str">
        <f>IF(ISNA( VLOOKUP(D30,テーブル一覧2!$A$2:$B$505,2,FALSE)),"",VLOOKUP(D30,テーブル一覧2!$A$2:$B$505,2,FALSE))</f>
        <v>生産計画－生産異常</v>
      </c>
      <c r="D30" s="1" t="s">
        <v>308</v>
      </c>
      <c r="E30" t="str">
        <f>PRODUCTION_TABLELIST[[#This Row],[テーブル名]]</f>
        <v>生産計画－生産異常</v>
      </c>
    </row>
    <row r="31" spans="1:5" x14ac:dyDescent="0.15">
      <c r="A31">
        <f t="shared" si="0"/>
        <v>30</v>
      </c>
      <c r="B31" t="s">
        <v>140</v>
      </c>
      <c r="C31" t="str">
        <f>IF(ISNA( VLOOKUP(D31,テーブル一覧2!$A$2:$B$505,2,FALSE)),"",VLOOKUP(D31,テーブル一覧2!$A$2:$B$505,2,FALSE))</f>
        <v>生産計画－生産異常－異常(ランク)</v>
      </c>
      <c r="D31" s="6" t="s">
        <v>767</v>
      </c>
      <c r="E31" t="str">
        <f>PRODUCTION_TABLELIST[[#This Row],[テーブル名]]</f>
        <v>生産計画－生産異常－異常(ランク)</v>
      </c>
    </row>
    <row r="32" spans="1:5" x14ac:dyDescent="0.15">
      <c r="A32">
        <f t="shared" si="0"/>
        <v>31</v>
      </c>
      <c r="B32" t="s">
        <v>140</v>
      </c>
      <c r="C32" t="str">
        <f>IF(ISNA( VLOOKUP(D32,テーブル一覧2!$A$2:$B$505,2,FALSE)),"",VLOOKUP(D32,テーブル一覧2!$A$2:$B$505,2,FALSE))</f>
        <v>生産計画－生産異常－異常(ライン落ち)</v>
      </c>
      <c r="D32" s="1" t="s">
        <v>1032</v>
      </c>
      <c r="E32" t="str">
        <f>PRODUCTION_TABLELIST[[#This Row],[テーブル名]]</f>
        <v>生産計画－生産異常－異常(ライン落ち)</v>
      </c>
    </row>
    <row r="33" spans="1:5" x14ac:dyDescent="0.15">
      <c r="A33">
        <f t="shared" si="0"/>
        <v>32</v>
      </c>
      <c r="B33" t="s">
        <v>140</v>
      </c>
      <c r="C33" t="str">
        <f>IF(ISNA( VLOOKUP(D33,テーブル一覧2!$A$2:$B$505,2,FALSE)),"",VLOOKUP(D33,テーブル一覧2!$A$2:$B$505,2,FALSE))</f>
        <v>生産計画－生産異常－異常(何変)</v>
      </c>
      <c r="D33" s="6" t="s">
        <v>769</v>
      </c>
      <c r="E33" t="str">
        <f>PRODUCTION_TABLELIST[[#This Row],[テーブル名]]</f>
        <v>生産計画－生産異常－異常(何変)</v>
      </c>
    </row>
    <row r="34" spans="1:5" x14ac:dyDescent="0.15">
      <c r="A34">
        <f t="shared" si="0"/>
        <v>33</v>
      </c>
      <c r="B34" t="s">
        <v>140</v>
      </c>
      <c r="C34" t="str">
        <f>IF(ISNA( VLOOKUP(D34,テーブル一覧2!$A$2:$B$505,2,FALSE)),"",VLOOKUP(D34,テーブル一覧2!$A$2:$B$505,2,FALSE))</f>
        <v>生産計画－生産異常－処置(不再現)</v>
      </c>
      <c r="D34" s="6" t="s">
        <v>771</v>
      </c>
      <c r="E34" t="str">
        <f>PRODUCTION_TABLELIST[[#This Row],[テーブル名]]</f>
        <v>生産計画－生産異常－処置(不再現)</v>
      </c>
    </row>
    <row r="35" spans="1:5" x14ac:dyDescent="0.15">
      <c r="A35">
        <f t="shared" si="0"/>
        <v>34</v>
      </c>
      <c r="B35" t="s">
        <v>140</v>
      </c>
      <c r="C35" t="str">
        <f>IF(ISNA( VLOOKUP(D35,テーブル一覧2!$A$2:$B$505,2,FALSE)),"",VLOOKUP(D35,テーブル一覧2!$A$2:$B$505,2,FALSE))</f>
        <v>生産計画－生産異常－異常(発見区)</v>
      </c>
      <c r="D35" s="6" t="s">
        <v>1033</v>
      </c>
      <c r="E35" t="str">
        <f>PRODUCTION_TABLELIST[[#This Row],[テーブル名]]</f>
        <v>生産計画－生産異常－異常(発見区)</v>
      </c>
    </row>
    <row r="36" spans="1:5" x14ac:dyDescent="0.15">
      <c r="A36">
        <f t="shared" si="0"/>
        <v>35</v>
      </c>
      <c r="B36" t="s">
        <v>140</v>
      </c>
      <c r="C36" t="str">
        <f>IF(ISNA( VLOOKUP(D36,テーブル一覧2!$A$2:$B$505,2,FALSE)),"",VLOOKUP(D36,テーブル一覧2!$A$2:$B$505,2,FALSE))</f>
        <v>生産計画－生産異常－発生原因(責任区)</v>
      </c>
      <c r="D36" s="1" t="s">
        <v>1034</v>
      </c>
      <c r="E36" t="str">
        <f>PRODUCTION_TABLELIST[[#This Row],[テーブル名]]</f>
        <v>生産計画－生産異常－発生原因(責任区)</v>
      </c>
    </row>
    <row r="37" spans="1:5" x14ac:dyDescent="0.15">
      <c r="A37">
        <f t="shared" si="0"/>
        <v>36</v>
      </c>
      <c r="B37" t="s">
        <v>140</v>
      </c>
      <c r="C37" t="str">
        <f>IF(ISNA( VLOOKUP(D37,テーブル一覧2!$A$2:$B$505,2,FALSE)),"",VLOOKUP(D37,テーブル一覧2!$A$2:$B$505,2,FALSE))</f>
        <v>生産計画－生産異常－流出原因(責任区)</v>
      </c>
      <c r="D37" s="6" t="s">
        <v>774</v>
      </c>
      <c r="E37" t="str">
        <f>PRODUCTION_TABLELIST[[#This Row],[テーブル名]]</f>
        <v>生産計画－生産異常－流出原因(責任区)</v>
      </c>
    </row>
    <row r="38" spans="1:5" x14ac:dyDescent="0.15">
      <c r="A38">
        <f t="shared" si="0"/>
        <v>37</v>
      </c>
      <c r="B38" t="s">
        <v>140</v>
      </c>
      <c r="C38" t="str">
        <f>IF(ISNA( VLOOKUP(D38,テーブル一覧2!$A$2:$B$505,2,FALSE)),"",VLOOKUP(D38,テーブル一覧2!$A$2:$B$505,2,FALSE))</f>
        <v>生産計画－生産異常－発生原因(発生区)</v>
      </c>
      <c r="D38" s="6" t="s">
        <v>773</v>
      </c>
      <c r="E38" t="str">
        <f>PRODUCTION_TABLELIST[[#This Row],[テーブル名]]</f>
        <v>生産計画－生産異常－発生原因(発生区)</v>
      </c>
    </row>
    <row r="39" spans="1:5" x14ac:dyDescent="0.15">
      <c r="A39">
        <f t="shared" si="0"/>
        <v>38</v>
      </c>
      <c r="B39" t="s">
        <v>140</v>
      </c>
      <c r="C39" t="str">
        <f>IF(ISNA( VLOOKUP(D39,テーブル一覧2!$A$2:$B$505,2,FALSE)),"",VLOOKUP(D39,テーブル一覧2!$A$2:$B$505,2,FALSE))</f>
        <v>生産計画－生産異常－流出原因(発生区)</v>
      </c>
      <c r="D39" s="6" t="s">
        <v>775</v>
      </c>
      <c r="E39" t="str">
        <f>PRODUCTION_TABLELIST[[#This Row],[テーブル名]]</f>
        <v>生産計画－生産異常－流出原因(発生区)</v>
      </c>
    </row>
    <row r="40" spans="1:5" x14ac:dyDescent="0.15">
      <c r="A40">
        <f t="shared" si="0"/>
        <v>39</v>
      </c>
      <c r="B40" t="s">
        <v>140</v>
      </c>
      <c r="C40" t="str">
        <f>IF(ISNA( VLOOKUP(D40,テーブル一覧2!$A$2:$B$505,2,FALSE)),"",VLOOKUP(D40,テーブル一覧2!$A$2:$B$505,2,FALSE))</f>
        <v>生産計画－生産異常－効果確認(判定)</v>
      </c>
      <c r="D40" s="1" t="s">
        <v>310</v>
      </c>
      <c r="E40" t="str">
        <f>PRODUCTION_TABLELIST[[#This Row],[テーブル名]]</f>
        <v>生産計画－生産異常－効果確認(判定)</v>
      </c>
    </row>
    <row r="41" spans="1:5" x14ac:dyDescent="0.15">
      <c r="A41">
        <f t="shared" si="0"/>
        <v>40</v>
      </c>
      <c r="B41" t="s">
        <v>140</v>
      </c>
      <c r="C41" t="str">
        <f>IF(ISNA( VLOOKUP(D41,テーブル一覧2!$A$2:$B$505,2,FALSE)),"",VLOOKUP(D41,テーブル一覧2!$A$2:$B$505,2,FALSE))</f>
        <v>生産計画－生産異常－異常(区分)</v>
      </c>
      <c r="D41" s="1" t="s">
        <v>311</v>
      </c>
      <c r="E41" t="str">
        <f>PRODUCTION_TABLELIST[[#This Row],[テーブル名]]</f>
        <v>生産計画－生産異常－異常(区分)</v>
      </c>
    </row>
    <row r="42" spans="1:5" x14ac:dyDescent="0.15">
      <c r="A42">
        <f t="shared" si="0"/>
        <v>41</v>
      </c>
      <c r="B42" t="s">
        <v>140</v>
      </c>
      <c r="C42" t="str">
        <f>IF(ISNA( VLOOKUP(D42,テーブル一覧2!$A$2:$B$505,2,FALSE)),"",VLOOKUP(D42,テーブル一覧2!$A$2:$B$505,2,FALSE))</f>
        <v>生産計画－生産異常－処置(分類)</v>
      </c>
      <c r="D42" s="1" t="s">
        <v>312</v>
      </c>
      <c r="E42" t="str">
        <f>PRODUCTION_TABLELIST[[#This Row],[テーブル名]]</f>
        <v>生産計画－生産異常－処置(分類)</v>
      </c>
    </row>
    <row r="43" spans="1:5" x14ac:dyDescent="0.15">
      <c r="A43">
        <f t="shared" si="0"/>
        <v>42</v>
      </c>
      <c r="B43" t="s">
        <v>140</v>
      </c>
      <c r="C43" t="str">
        <f>IF(ISNA( VLOOKUP(D43,テーブル一覧2!$A$2:$B$505,2,FALSE)),"",VLOOKUP(D43,テーブル一覧2!$A$2:$B$505,2,FALSE))</f>
        <v>生産計画－生産異常－発生原因(分類)</v>
      </c>
      <c r="D43" s="1" t="s">
        <v>313</v>
      </c>
      <c r="E43" t="str">
        <f>PRODUCTION_TABLELIST[[#This Row],[テーブル名]]</f>
        <v>生産計画－生産異常－発生原因(分類)</v>
      </c>
    </row>
    <row r="44" spans="1:5" x14ac:dyDescent="0.15">
      <c r="A44">
        <f t="shared" si="0"/>
        <v>43</v>
      </c>
      <c r="B44" t="s">
        <v>140</v>
      </c>
      <c r="C44" t="str">
        <f>IF(ISNA( VLOOKUP(D44,テーブル一覧2!$A$2:$B$505,2,FALSE)),"",VLOOKUP(D44,テーブル一覧2!$A$2:$B$505,2,FALSE))</f>
        <v>生産計画－生産異常－発生対策(分類)</v>
      </c>
      <c r="D44" s="1" t="s">
        <v>314</v>
      </c>
      <c r="E44" t="str">
        <f>PRODUCTION_TABLELIST[[#This Row],[テーブル名]]</f>
        <v>生産計画－生産異常－発生対策(分類)</v>
      </c>
    </row>
    <row r="45" spans="1:5" x14ac:dyDescent="0.15">
      <c r="A45">
        <f t="shared" si="0"/>
        <v>44</v>
      </c>
      <c r="B45" t="s">
        <v>140</v>
      </c>
      <c r="C45" t="str">
        <f>IF(ISNA( VLOOKUP(D45,テーブル一覧2!$A$2:$B$505,2,FALSE)),"",VLOOKUP(D45,テーブル一覧2!$A$2:$B$505,2,FALSE))</f>
        <v>生産計画－生産異常－流出原因(分類)</v>
      </c>
      <c r="D45" s="1" t="s">
        <v>315</v>
      </c>
      <c r="E45" t="str">
        <f>PRODUCTION_TABLELIST[[#This Row],[テーブル名]]</f>
        <v>生産計画－生産異常－流出原因(分類)</v>
      </c>
    </row>
    <row r="46" spans="1:5" x14ac:dyDescent="0.15">
      <c r="A46">
        <f t="shared" si="0"/>
        <v>45</v>
      </c>
      <c r="B46" t="s">
        <v>140</v>
      </c>
      <c r="C46" t="str">
        <f>IF(ISNA( VLOOKUP(D46,テーブル一覧2!$A$2:$B$505,2,FALSE)),"",VLOOKUP(D46,テーブル一覧2!$A$2:$B$505,2,FALSE))</f>
        <v>生産計画－生産異常－流出対策(分類)</v>
      </c>
      <c r="D46" s="1" t="s">
        <v>316</v>
      </c>
      <c r="E46" t="str">
        <f>PRODUCTION_TABLELIST[[#This Row],[テーブル名]]</f>
        <v>生産計画－生産異常－流出対策(分類)</v>
      </c>
    </row>
    <row r="47" spans="1:5" x14ac:dyDescent="0.15">
      <c r="A47">
        <f t="shared" si="0"/>
        <v>46</v>
      </c>
      <c r="B47" t="s">
        <v>140</v>
      </c>
      <c r="C47" t="str">
        <f>IF(ISNA( VLOOKUP(D47,テーブル一覧2!$A$2:$B$505,2,FALSE)),"",VLOOKUP(D47,テーブル一覧2!$A$2:$B$505,2,FALSE))</f>
        <v>生産計画－生産異常－効果確認(内容)</v>
      </c>
      <c r="D47" s="1" t="s">
        <v>317</v>
      </c>
      <c r="E47" t="str">
        <f>PRODUCTION_TABLELIST[[#This Row],[テーブル名]]</f>
        <v>生産計画－生産異常－効果確認(内容)</v>
      </c>
    </row>
    <row r="48" spans="1:5" x14ac:dyDescent="0.15">
      <c r="A48">
        <f t="shared" si="0"/>
        <v>47</v>
      </c>
      <c r="B48" t="s">
        <v>140</v>
      </c>
      <c r="C48" t="str">
        <f>IF(ISNA( VLOOKUP(D48,テーブル一覧2!$A$2:$B$505,2,FALSE)),"",VLOOKUP(D48,テーブル一覧2!$A$2:$B$505,2,FALSE))</f>
        <v>生産計画－品質異常</v>
      </c>
      <c r="D48" s="1" t="s">
        <v>1035</v>
      </c>
      <c r="E48" t="str">
        <f>PRODUCTION_TABLELIST[[#This Row],[テーブル名]]</f>
        <v>生産計画－品質異常</v>
      </c>
    </row>
    <row r="49" spans="1:5" x14ac:dyDescent="0.15">
      <c r="A49">
        <f t="shared" si="0"/>
        <v>48</v>
      </c>
      <c r="B49" t="s">
        <v>140</v>
      </c>
      <c r="C49" t="str">
        <f>IF(ISNA( VLOOKUP(D49,テーブル一覧2!$A$2:$B$505,2,FALSE)),"",VLOOKUP(D49,テーブル一覧2!$A$2:$B$505,2,FALSE))</f>
        <v>生産計画－品質異常－異常(ランク)</v>
      </c>
      <c r="D49" s="6" t="s">
        <v>757</v>
      </c>
      <c r="E49" t="str">
        <f>PRODUCTION_TABLELIST[[#This Row],[テーブル名]]</f>
        <v>生産計画－品質異常－異常(ランク)</v>
      </c>
    </row>
    <row r="50" spans="1:5" x14ac:dyDescent="0.15">
      <c r="A50">
        <f t="shared" si="0"/>
        <v>49</v>
      </c>
      <c r="B50" t="s">
        <v>140</v>
      </c>
      <c r="C50" t="str">
        <f>IF(ISNA( VLOOKUP(D50,テーブル一覧2!$A$2:$B$505,2,FALSE)),"",VLOOKUP(D50,テーブル一覧2!$A$2:$B$505,2,FALSE))</f>
        <v>生産計画－品質異常－異常(ライン落ち)</v>
      </c>
      <c r="D50" s="6" t="s">
        <v>758</v>
      </c>
      <c r="E50" t="str">
        <f>PRODUCTION_TABLELIST[[#This Row],[テーブル名]]</f>
        <v>生産計画－品質異常－異常(ライン落ち)</v>
      </c>
    </row>
    <row r="51" spans="1:5" x14ac:dyDescent="0.15">
      <c r="A51">
        <f t="shared" si="0"/>
        <v>50</v>
      </c>
      <c r="B51" t="s">
        <v>140</v>
      </c>
      <c r="C51" t="str">
        <f>IF(ISNA( VLOOKUP(D51,テーブル一覧2!$A$2:$B$505,2,FALSE)),"",VLOOKUP(D51,テーブル一覧2!$A$2:$B$505,2,FALSE))</f>
        <v>生産計画－品質異常－異常(何変)</v>
      </c>
      <c r="D51" s="6" t="s">
        <v>759</v>
      </c>
      <c r="E51" t="str">
        <f>PRODUCTION_TABLELIST[[#This Row],[テーブル名]]</f>
        <v>生産計画－品質異常－異常(何変)</v>
      </c>
    </row>
    <row r="52" spans="1:5" x14ac:dyDescent="0.15">
      <c r="A52">
        <f t="shared" si="0"/>
        <v>51</v>
      </c>
      <c r="B52" t="s">
        <v>140</v>
      </c>
      <c r="C52" t="str">
        <f>IF(ISNA( VLOOKUP(D52,テーブル一覧2!$A$2:$B$505,2,FALSE)),"",VLOOKUP(D52,テーブル一覧2!$A$2:$B$505,2,FALSE))</f>
        <v>生産計画－品質異常－処置(不再現)</v>
      </c>
      <c r="D52" s="6" t="s">
        <v>761</v>
      </c>
      <c r="E52" t="str">
        <f>PRODUCTION_TABLELIST[[#This Row],[テーブル名]]</f>
        <v>生産計画－品質異常－処置(不再現)</v>
      </c>
    </row>
    <row r="53" spans="1:5" x14ac:dyDescent="0.15">
      <c r="A53">
        <f t="shared" si="0"/>
        <v>52</v>
      </c>
      <c r="B53" t="s">
        <v>140</v>
      </c>
      <c r="C53" t="str">
        <f>IF(ISNA( VLOOKUP(D53,テーブル一覧2!$A$2:$B$505,2,FALSE)),"",VLOOKUP(D53,テーブル一覧2!$A$2:$B$505,2,FALSE))</f>
        <v>生産計画－品質異常－異常(発見区)</v>
      </c>
      <c r="D53" s="1" t="s">
        <v>1036</v>
      </c>
      <c r="E53" t="str">
        <f>PRODUCTION_TABLELIST[[#This Row],[テーブル名]]</f>
        <v>生産計画－品質異常－異常(発見区)</v>
      </c>
    </row>
    <row r="54" spans="1:5" x14ac:dyDescent="0.15">
      <c r="A54">
        <f t="shared" si="0"/>
        <v>53</v>
      </c>
      <c r="B54" t="s">
        <v>140</v>
      </c>
      <c r="C54" t="str">
        <f>IF(ISNA( VLOOKUP(D54,テーブル一覧2!$A$2:$B$505,2,FALSE)),"",VLOOKUP(D54,テーブル一覧2!$A$2:$B$505,2,FALSE))</f>
        <v>生産計画－品質異常－発生原因(責任区)</v>
      </c>
      <c r="D54" s="6" t="s">
        <v>762</v>
      </c>
      <c r="E54" t="str">
        <f>PRODUCTION_TABLELIST[[#This Row],[テーブル名]]</f>
        <v>生産計画－品質異常－発生原因(責任区)</v>
      </c>
    </row>
    <row r="55" spans="1:5" x14ac:dyDescent="0.15">
      <c r="A55">
        <f t="shared" si="0"/>
        <v>54</v>
      </c>
      <c r="B55" t="s">
        <v>140</v>
      </c>
      <c r="C55" t="str">
        <f>IF(ISNA( VLOOKUP(D55,テーブル一覧2!$A$2:$B$505,2,FALSE)),"",VLOOKUP(D55,テーブル一覧2!$A$2:$B$505,2,FALSE))</f>
        <v>生産計画－品質異常－流出原因(責任区)</v>
      </c>
      <c r="D55" s="6" t="s">
        <v>764</v>
      </c>
      <c r="E55" t="str">
        <f>PRODUCTION_TABLELIST[[#This Row],[テーブル名]]</f>
        <v>生産計画－品質異常－流出原因(責任区)</v>
      </c>
    </row>
    <row r="56" spans="1:5" x14ac:dyDescent="0.15">
      <c r="A56">
        <f t="shared" si="0"/>
        <v>55</v>
      </c>
      <c r="B56" t="s">
        <v>140</v>
      </c>
      <c r="C56" t="str">
        <f>IF(ISNA( VLOOKUP(D56,テーブル一覧2!$A$2:$B$505,2,FALSE)),"",VLOOKUP(D56,テーブル一覧2!$A$2:$B$505,2,FALSE))</f>
        <v>生産計画－品質異常－効果確認(判定)</v>
      </c>
      <c r="D56" s="1" t="s">
        <v>1037</v>
      </c>
      <c r="E56" t="str">
        <f>PRODUCTION_TABLELIST[[#This Row],[テーブル名]]</f>
        <v>生産計画－品質異常－効果確認(判定)</v>
      </c>
    </row>
    <row r="57" spans="1:5" x14ac:dyDescent="0.15">
      <c r="A57">
        <f t="shared" si="0"/>
        <v>56</v>
      </c>
      <c r="B57" t="s">
        <v>140</v>
      </c>
      <c r="C57" t="str">
        <f>IF(ISNA( VLOOKUP(D57,テーブル一覧2!$A$2:$B$505,2,FALSE)),"",VLOOKUP(D57,テーブル一覧2!$A$2:$B$505,2,FALSE))</f>
        <v>生産計画－品質異常－異常(区分)</v>
      </c>
      <c r="D57" s="1" t="s">
        <v>320</v>
      </c>
      <c r="E57" t="str">
        <f>PRODUCTION_TABLELIST[[#This Row],[テーブル名]]</f>
        <v>生産計画－品質異常－異常(区分)</v>
      </c>
    </row>
    <row r="58" spans="1:5" x14ac:dyDescent="0.15">
      <c r="A58">
        <f t="shared" si="0"/>
        <v>57</v>
      </c>
      <c r="B58" t="s">
        <v>140</v>
      </c>
      <c r="C58" t="str">
        <f>IF(ISNA( VLOOKUP(D58,テーブル一覧2!$A$2:$B$505,2,FALSE)),"",VLOOKUP(D58,テーブル一覧2!$A$2:$B$505,2,FALSE))</f>
        <v>生産計画－品質異常－処置(分類)</v>
      </c>
      <c r="D58" s="1" t="s">
        <v>321</v>
      </c>
      <c r="E58" t="str">
        <f>PRODUCTION_TABLELIST[[#This Row],[テーブル名]]</f>
        <v>生産計画－品質異常－処置(分類)</v>
      </c>
    </row>
    <row r="59" spans="1:5" x14ac:dyDescent="0.15">
      <c r="A59">
        <f t="shared" si="0"/>
        <v>58</v>
      </c>
      <c r="B59" t="s">
        <v>140</v>
      </c>
      <c r="C59" t="str">
        <f>IF(ISNA( VLOOKUP(D59,テーブル一覧2!$A$2:$B$505,2,FALSE)),"",VLOOKUP(D59,テーブル一覧2!$A$2:$B$505,2,FALSE))</f>
        <v>生産計画－品質異常－発生原因(分類)</v>
      </c>
      <c r="D59" s="1" t="s">
        <v>322</v>
      </c>
      <c r="E59" t="str">
        <f>PRODUCTION_TABLELIST[[#This Row],[テーブル名]]</f>
        <v>生産計画－品質異常－発生原因(分類)</v>
      </c>
    </row>
    <row r="60" spans="1:5" x14ac:dyDescent="0.15">
      <c r="A60">
        <f t="shared" si="0"/>
        <v>59</v>
      </c>
      <c r="B60" t="s">
        <v>140</v>
      </c>
      <c r="C60" t="str">
        <f>IF(ISNA( VLOOKUP(D60,テーブル一覧2!$A$2:$B$505,2,FALSE)),"",VLOOKUP(D60,テーブル一覧2!$A$2:$B$505,2,FALSE))</f>
        <v>生産計画－品質異常－発生対策(分類)</v>
      </c>
      <c r="D60" s="1" t="s">
        <v>323</v>
      </c>
      <c r="E60" t="str">
        <f>PRODUCTION_TABLELIST[[#This Row],[テーブル名]]</f>
        <v>生産計画－品質異常－発生対策(分類)</v>
      </c>
    </row>
    <row r="61" spans="1:5" x14ac:dyDescent="0.15">
      <c r="A61">
        <f t="shared" si="0"/>
        <v>60</v>
      </c>
      <c r="B61" t="s">
        <v>140</v>
      </c>
      <c r="C61" t="str">
        <f>IF(ISNA( VLOOKUP(D61,テーブル一覧2!$A$2:$B$505,2,FALSE)),"",VLOOKUP(D61,テーブル一覧2!$A$2:$B$505,2,FALSE))</f>
        <v>生産計画－品質異常－流出原因(分類)</v>
      </c>
      <c r="D61" s="1" t="s">
        <v>324</v>
      </c>
      <c r="E61" t="str">
        <f>PRODUCTION_TABLELIST[[#This Row],[テーブル名]]</f>
        <v>生産計画－品質異常－流出原因(分類)</v>
      </c>
    </row>
    <row r="62" spans="1:5" x14ac:dyDescent="0.15">
      <c r="A62">
        <f t="shared" si="0"/>
        <v>61</v>
      </c>
      <c r="B62" t="s">
        <v>140</v>
      </c>
      <c r="C62" t="str">
        <f>IF(ISNA( VLOOKUP(D62,テーブル一覧2!$A$2:$B$505,2,FALSE)),"",VLOOKUP(D62,テーブル一覧2!$A$2:$B$505,2,FALSE))</f>
        <v>生産計画－品質異常－流出対策(分類)</v>
      </c>
      <c r="D62" s="1" t="s">
        <v>325</v>
      </c>
      <c r="E62" t="str">
        <f>PRODUCTION_TABLELIST[[#This Row],[テーブル名]]</f>
        <v>生産計画－品質異常－流出対策(分類)</v>
      </c>
    </row>
    <row r="63" spans="1:5" x14ac:dyDescent="0.15">
      <c r="A63">
        <f t="shared" si="0"/>
        <v>62</v>
      </c>
      <c r="B63" t="s">
        <v>140</v>
      </c>
      <c r="C63" t="str">
        <f>IF(ISNA( VLOOKUP(D63,テーブル一覧2!$A$2:$B$505,2,FALSE)),"",VLOOKUP(D63,テーブル一覧2!$A$2:$B$505,2,FALSE))</f>
        <v>生産計画－品質異常－効果確認(内容)</v>
      </c>
      <c r="D63" s="1" t="s">
        <v>326</v>
      </c>
      <c r="E63" t="str">
        <f>PRODUCTION_TABLELIST[[#This Row],[テーブル名]]</f>
        <v>生産計画－品質異常－効果確認(内容)</v>
      </c>
    </row>
    <row r="64" spans="1:5" x14ac:dyDescent="0.15">
      <c r="A64">
        <f t="shared" si="0"/>
        <v>63</v>
      </c>
      <c r="B64" t="s">
        <v>140</v>
      </c>
      <c r="C64" t="str">
        <f>IF(ISNA( VLOOKUP(D64,テーブル一覧2!$A$2:$B$505,2,FALSE)),"",VLOOKUP(D64,テーブル一覧2!$A$2:$B$505,2,FALSE))</f>
        <v>品質異常・対応実績</v>
      </c>
      <c r="D64" s="1" t="s">
        <v>328</v>
      </c>
      <c r="E64" t="str">
        <f>PRODUCTION_TABLELIST[[#This Row],[テーブル名]]</f>
        <v>品質異常・対応実績</v>
      </c>
    </row>
    <row r="65" spans="1:5" x14ac:dyDescent="0.15">
      <c r="A65">
        <f t="shared" si="0"/>
        <v>64</v>
      </c>
      <c r="B65" t="s">
        <v>140</v>
      </c>
      <c r="C65" t="str">
        <f>IF(ISNA( VLOOKUP(D65,テーブル一覧2!$A$2:$B$505,2,FALSE)),"",VLOOKUP(D65,テーブル一覧2!$A$2:$B$505,2,FALSE))</f>
        <v>生産異常・対応実績</v>
      </c>
      <c r="D65" s="1" t="s">
        <v>304</v>
      </c>
      <c r="E65" t="str">
        <f>PRODUCTION_TABLELIST[[#This Row],[テーブル名]]</f>
        <v>生産異常・対応実績</v>
      </c>
    </row>
    <row r="66" spans="1:5" x14ac:dyDescent="0.15">
      <c r="A66">
        <f t="shared" si="0"/>
        <v>65</v>
      </c>
      <c r="B66" t="s">
        <v>1038</v>
      </c>
      <c r="C66" t="str">
        <f>IF(ISNA( VLOOKUP(D66,テーブル一覧2!$A$2:$B$505,2,FALSE)),"",VLOOKUP(D66,テーブル一覧2!$A$2:$B$505,2,FALSE))</f>
        <v>生産実績－状況</v>
      </c>
      <c r="D66" s="1" t="s">
        <v>305</v>
      </c>
      <c r="E66" t="str">
        <f>PRODUCTION_TABLELIST[[#This Row],[テーブル名]]</f>
        <v>生産実績－状況</v>
      </c>
    </row>
    <row r="67" spans="1:5" x14ac:dyDescent="0.15">
      <c r="A67">
        <f t="shared" si="0"/>
        <v>66</v>
      </c>
      <c r="B67" t="s">
        <v>1038</v>
      </c>
      <c r="C67" t="str">
        <f>IF(ISNA( VLOOKUP(D67,テーブル一覧2!$A$2:$B$505,2,FALSE)),"",VLOOKUP(D67,テーブル一覧2!$A$2:$B$505,2,FALSE))</f>
        <v>生産実績－生産実績段取</v>
      </c>
      <c r="D67" s="1" t="s">
        <v>275</v>
      </c>
      <c r="E67" t="str">
        <f>PRODUCTION_TABLELIST[[#This Row],[テーブル名]]</f>
        <v>生産実績－生産実績段取</v>
      </c>
    </row>
    <row r="68" spans="1:5" x14ac:dyDescent="0.15">
      <c r="A68">
        <f t="shared" si="0"/>
        <v>67</v>
      </c>
      <c r="B68" t="s">
        <v>1038</v>
      </c>
      <c r="C68" t="str">
        <f>IF(ISNA( VLOOKUP(D68,テーブル一覧2!$A$2:$B$505,2,FALSE)),"",VLOOKUP(D68,テーブル一覧2!$A$2:$B$505,2,FALSE))</f>
        <v>生産実績－生産実績段取－添付</v>
      </c>
      <c r="D68" s="6" t="s">
        <v>276</v>
      </c>
      <c r="E68" t="str">
        <f>PRODUCTION_TABLELIST[[#This Row],[テーブル名]]</f>
        <v>生産実績－生産実績段取－添付</v>
      </c>
    </row>
    <row r="69" spans="1:5" x14ac:dyDescent="0.15">
      <c r="A69">
        <f t="shared" si="0"/>
        <v>68</v>
      </c>
      <c r="B69" t="s">
        <v>1038</v>
      </c>
      <c r="C69" t="str">
        <f>IF(ISNA( VLOOKUP(D69,テーブル一覧2!$A$2:$B$505,2,FALSE)),"",VLOOKUP(D69,テーブル一覧2!$A$2:$B$505,2,FALSE))</f>
        <v>生産実績－工程別実績</v>
      </c>
      <c r="D69" s="1" t="s">
        <v>277</v>
      </c>
      <c r="E69" t="str">
        <f>PRODUCTION_TABLELIST[[#This Row],[テーブル名]]</f>
        <v>生産実績－工程別実績</v>
      </c>
    </row>
    <row r="70" spans="1:5" x14ac:dyDescent="0.15">
      <c r="A70">
        <f t="shared" si="0"/>
        <v>69</v>
      </c>
      <c r="B70" t="s">
        <v>1038</v>
      </c>
      <c r="C70" t="str">
        <f>IF(ISNA( VLOOKUP(D70,テーブル一覧2!$A$2:$B$505,2,FALSE)),"",VLOOKUP(D70,テーブル一覧2!$A$2:$B$505,2,FALSE))</f>
        <v>生産明細－生産実績基本</v>
      </c>
      <c r="D70" s="6" t="s">
        <v>777</v>
      </c>
      <c r="E70" t="str">
        <f>PRODUCTION_TABLELIST[[#This Row],[テーブル名]]</f>
        <v>生産明細－生産実績基本</v>
      </c>
    </row>
    <row r="71" spans="1:5" x14ac:dyDescent="0.15">
      <c r="A71">
        <f t="shared" si="0"/>
        <v>70</v>
      </c>
      <c r="B71" t="s">
        <v>1038</v>
      </c>
      <c r="C71" t="str">
        <f>IF(ISNA( VLOOKUP(D71,テーブル一覧2!$A$2:$B$505,2,FALSE)),"",VLOOKUP(D71,テーブル一覧2!$A$2:$B$505,2,FALSE))</f>
        <v>生産明細－工程－生産実績基本－工程履歴</v>
      </c>
      <c r="D71" s="6" t="s">
        <v>780</v>
      </c>
      <c r="E71" t="str">
        <f>PRODUCTION_TABLELIST[[#This Row],[テーブル名]]</f>
        <v>生産明細－工程－生産実績基本－工程履歴</v>
      </c>
    </row>
    <row r="72" spans="1:5" x14ac:dyDescent="0.15">
      <c r="A72">
        <f t="shared" si="0"/>
        <v>71</v>
      </c>
      <c r="B72" t="s">
        <v>1038</v>
      </c>
      <c r="C72" t="str">
        <f>IF(ISNA( VLOOKUP(D72,テーブル一覧2!$A$2:$B$505,2,FALSE)),"",VLOOKUP(D72,テーブル一覧2!$A$2:$B$505,2,FALSE))</f>
        <v>生産明細－工程－生産実績基本－工程履歴－発生内訳</v>
      </c>
      <c r="D72" s="6" t="s">
        <v>781</v>
      </c>
      <c r="E72" t="str">
        <f>PRODUCTION_TABLELIST[[#This Row],[テーブル名]]</f>
        <v>生産明細－工程－生産実績基本－工程履歴－発生内訳</v>
      </c>
    </row>
    <row r="73" spans="1:5" x14ac:dyDescent="0.15">
      <c r="A73">
        <f t="shared" si="0"/>
        <v>72</v>
      </c>
      <c r="B73" t="s">
        <v>1038</v>
      </c>
      <c r="C73" t="str">
        <f>IF(ISNA( VLOOKUP(D73,テーブル一覧2!$A$2:$B$505,2,FALSE)),"",VLOOKUP(D73,テーブル一覧2!$A$2:$B$505,2,FALSE))</f>
        <v>生産明細－工程－生産実績基本－ロット管理</v>
      </c>
      <c r="D73" s="6" t="s">
        <v>782</v>
      </c>
      <c r="E73" t="str">
        <f>PRODUCTION_TABLELIST[[#This Row],[テーブル名]]</f>
        <v>生産明細－工程－生産実績基本－ロット管理</v>
      </c>
    </row>
    <row r="74" spans="1:5" x14ac:dyDescent="0.15">
      <c r="A74">
        <f t="shared" si="0"/>
        <v>73</v>
      </c>
      <c r="B74" t="s">
        <v>1038</v>
      </c>
      <c r="C74" t="str">
        <f>IF(ISNA( VLOOKUP(D74,テーブル一覧2!$A$2:$B$505,2,FALSE)),"",VLOOKUP(D74,テーブル一覧2!$A$2:$B$505,2,FALSE))</f>
        <v>生産明細－工程－生産実績基本－生産パラメータ</v>
      </c>
      <c r="D74" s="6" t="s">
        <v>779</v>
      </c>
      <c r="E74" t="str">
        <f>PRODUCTION_TABLELIST[[#This Row],[テーブル名]]</f>
        <v>生産明細－工程－生産実績基本－生産パラメータ</v>
      </c>
    </row>
    <row r="75" spans="1:5" x14ac:dyDescent="0.15">
      <c r="A75">
        <f t="shared" si="0"/>
        <v>74</v>
      </c>
      <c r="B75" t="s">
        <v>1038</v>
      </c>
      <c r="C75" t="str">
        <f>IF(ISNA( VLOOKUP(D75,テーブル一覧2!$A$2:$B$505,2,FALSE)),"",VLOOKUP(D75,テーブル一覧2!$A$2:$B$505,2,FALSE))</f>
        <v>生産明細－工程－生産実績構成</v>
      </c>
      <c r="D75" s="6" t="s">
        <v>783</v>
      </c>
      <c r="E75" t="str">
        <f>PRODUCTION_TABLELIST[[#This Row],[テーブル名]]</f>
        <v>生産明細－工程－生産実績構成</v>
      </c>
    </row>
    <row r="76" spans="1:5" x14ac:dyDescent="0.15">
      <c r="A76">
        <f t="shared" si="0"/>
        <v>75</v>
      </c>
      <c r="B76" t="s">
        <v>1038</v>
      </c>
      <c r="C76" t="str">
        <f>IF(ISNA( VLOOKUP(D76,テーブル一覧2!$A$2:$B$505,2,FALSE)),"",VLOOKUP(D76,テーブル一覧2!$A$2:$B$505,2,FALSE))</f>
        <v>生産明細－工程－生産実績作業</v>
      </c>
      <c r="D76" s="1" t="s">
        <v>1039</v>
      </c>
      <c r="E76" t="str">
        <f>PRODUCTION_TABLELIST[[#This Row],[テーブル名]]</f>
        <v>生産明細－工程－生産実績作業</v>
      </c>
    </row>
    <row r="77" spans="1:5" x14ac:dyDescent="0.15">
      <c r="A77">
        <f t="shared" si="0"/>
        <v>76</v>
      </c>
      <c r="B77" t="s">
        <v>1038</v>
      </c>
      <c r="C77" t="str">
        <f>IF(ISNA( VLOOKUP(D77,テーブル一覧2!$A$2:$B$505,2,FALSE)),"",VLOOKUP(D77,テーブル一覧2!$A$2:$B$505,2,FALSE))</f>
        <v>生産明細－工程－生産実績作業－添付</v>
      </c>
      <c r="D77" s="6" t="s">
        <v>785</v>
      </c>
      <c r="E77" t="str">
        <f>PRODUCTION_TABLELIST[[#This Row],[テーブル名]]</f>
        <v>生産明細－工程－生産実績作業－添付</v>
      </c>
    </row>
    <row r="78" spans="1:5" x14ac:dyDescent="0.15">
      <c r="A78">
        <f t="shared" si="0"/>
        <v>77</v>
      </c>
      <c r="B78" t="s">
        <v>1038</v>
      </c>
      <c r="C78" t="str">
        <f>IF(ISNA( VLOOKUP(D78,テーブル一覧2!$A$2:$B$505,2,FALSE)),"",VLOOKUP(D78,テーブル一覧2!$A$2:$B$505,2,FALSE))</f>
        <v>生産明細－工程－生産実績検査</v>
      </c>
      <c r="D78" s="6" t="s">
        <v>786</v>
      </c>
      <c r="E78" t="str">
        <f>PRODUCTION_TABLELIST[[#This Row],[テーブル名]]</f>
        <v>生産明細－工程－生産実績検査</v>
      </c>
    </row>
    <row r="79" spans="1:5" x14ac:dyDescent="0.15">
      <c r="A79">
        <f t="shared" si="0"/>
        <v>78</v>
      </c>
      <c r="B79" t="s">
        <v>1038</v>
      </c>
      <c r="C79" t="str">
        <f>IF(ISNA( VLOOKUP(D79,テーブル一覧2!$A$2:$B$505,2,FALSE)),"",VLOOKUP(D79,テーブル一覧2!$A$2:$B$505,2,FALSE))</f>
        <v>生産明細－工程－生産実績検査－添付</v>
      </c>
      <c r="D79" s="6" t="s">
        <v>788</v>
      </c>
      <c r="E79" t="str">
        <f>PRODUCTION_TABLELIST[[#This Row],[テーブル名]]</f>
        <v>生産明細－工程－生産実績検査－添付</v>
      </c>
    </row>
    <row r="80" spans="1:5" x14ac:dyDescent="0.15">
      <c r="A80">
        <f t="shared" si="0"/>
        <v>79</v>
      </c>
      <c r="B80" t="s">
        <v>1038</v>
      </c>
      <c r="C80" t="str">
        <f>IF(ISNA( VLOOKUP(D80,テーブル一覧2!$A$2:$B$505,2,FALSE)),"",VLOOKUP(D80,テーブル一覧2!$A$2:$B$505,2,FALSE))</f>
        <v>生産明細－工程－生産実績検査－条件</v>
      </c>
      <c r="D80" s="6" t="s">
        <v>787</v>
      </c>
      <c r="E80" t="str">
        <f>PRODUCTION_TABLELIST[[#This Row],[テーブル名]]</f>
        <v>生産明細－工程－生産実績検査－条件</v>
      </c>
    </row>
    <row r="81" spans="1:5" x14ac:dyDescent="0.15">
      <c r="A81">
        <f t="shared" si="0"/>
        <v>80</v>
      </c>
      <c r="B81" t="s">
        <v>1038</v>
      </c>
      <c r="C81" t="str">
        <f>IF(ISNA( VLOOKUP(D81,テーブル一覧2!$A$2:$B$505,2,FALSE)),"",VLOOKUP(D81,テーブル一覧2!$A$2:$B$505,2,FALSE))</f>
        <v>生産明細－工程－生産実績測定</v>
      </c>
      <c r="D81" s="6" t="s">
        <v>789</v>
      </c>
      <c r="E81" t="str">
        <f>PRODUCTION_TABLELIST[[#This Row],[テーブル名]]</f>
        <v>生産明細－工程－生産実績測定</v>
      </c>
    </row>
    <row r="82" spans="1:5" x14ac:dyDescent="0.15">
      <c r="A82">
        <f t="shared" si="0"/>
        <v>81</v>
      </c>
      <c r="B82" t="s">
        <v>1038</v>
      </c>
      <c r="C82" t="str">
        <f>IF(ISNA( VLOOKUP(D82,テーブル一覧2!$A$2:$B$505,2,FALSE)),"",VLOOKUP(D82,テーブル一覧2!$A$2:$B$505,2,FALSE))</f>
        <v>生産明細－工程－生産実績測定－添付</v>
      </c>
      <c r="D82" s="6" t="s">
        <v>791</v>
      </c>
      <c r="E82" t="str">
        <f>PRODUCTION_TABLELIST[[#This Row],[テーブル名]]</f>
        <v>生産明細－工程－生産実績測定－添付</v>
      </c>
    </row>
    <row r="83" spans="1:5" x14ac:dyDescent="0.15">
      <c r="A83">
        <f t="shared" si="0"/>
        <v>82</v>
      </c>
      <c r="B83" t="s">
        <v>1038</v>
      </c>
      <c r="C83" t="str">
        <f>IF(ISNA( VLOOKUP(D83,テーブル一覧2!$A$2:$B$505,2,FALSE)),"",VLOOKUP(D83,テーブル一覧2!$A$2:$B$505,2,FALSE))</f>
        <v>生産明細－工程－生産実績測定－条件</v>
      </c>
      <c r="D83" s="6" t="s">
        <v>1040</v>
      </c>
      <c r="E83" t="str">
        <f>PRODUCTION_TABLELIST[[#This Row],[テーブル名]]</f>
        <v>生産明細－工程－生産実績測定－条件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8"/>
  <sheetViews>
    <sheetView topLeftCell="A22" workbookViewId="0">
      <selection activeCell="D55" sqref="D55"/>
    </sheetView>
  </sheetViews>
  <sheetFormatPr defaultRowHeight="13.5" x14ac:dyDescent="0.15"/>
  <cols>
    <col min="2" max="2" width="17.5" customWidth="1"/>
    <col min="3" max="3" width="33.875" bestFit="1" customWidth="1"/>
    <col min="4" max="4" width="83.125" bestFit="1" customWidth="1"/>
    <col min="5" max="5" width="51.875" bestFit="1" customWidth="1"/>
  </cols>
  <sheetData>
    <row r="1" spans="1:5" x14ac:dyDescent="0.15">
      <c r="A1" t="s">
        <v>5</v>
      </c>
      <c r="B1" t="s">
        <v>4</v>
      </c>
      <c r="C1" t="s">
        <v>0</v>
      </c>
      <c r="D1" t="s">
        <v>1</v>
      </c>
      <c r="E1" t="s">
        <v>2</v>
      </c>
    </row>
    <row r="2" spans="1:5" x14ac:dyDescent="0.15">
      <c r="A2">
        <f>IF(ISBLANK( OPERATION_TABLELIST[[#This Row],[物理名]]),"",ROW()-1)</f>
        <v>1</v>
      </c>
      <c r="B2" t="s">
        <v>1041</v>
      </c>
      <c r="C2" t="str">
        <f>IF(ISNA( VLOOKUP(D2,テーブル一覧2!$A$2:$B$505,2,FALSE)),"",VLOOKUP(D2,テーブル一覧2!$A$2:$B$505,2,FALSE))</f>
        <v>稼動計画</v>
      </c>
      <c r="D2" s="1" t="s">
        <v>6</v>
      </c>
      <c r="E2" t="str">
        <f>OPERATION_TABLELIST[[#This Row],[テーブル名]]</f>
        <v>稼動計画</v>
      </c>
    </row>
    <row r="3" spans="1:5" x14ac:dyDescent="0.15">
      <c r="A3">
        <f>IF(ISBLANK( OPERATION_TABLELIST[[#This Row],[物理名]]),"",ROW()-1)</f>
        <v>2</v>
      </c>
      <c r="B3" t="s">
        <v>1041</v>
      </c>
      <c r="C3" t="str">
        <f>IF(ISNA( VLOOKUP(D3,テーブル一覧2!$A$2:$B$505,2,FALSE)),"",VLOOKUP(D3,テーブル一覧2!$A$2:$B$505,2,FALSE))</f>
        <v>稼動計画－稼動実績基本</v>
      </c>
      <c r="D3" s="6" t="s">
        <v>888</v>
      </c>
      <c r="E3" t="str">
        <f>OPERATION_TABLELIST[[#This Row],[テーブル名]]</f>
        <v>稼動計画－稼動実績基本</v>
      </c>
    </row>
    <row r="4" spans="1:5" x14ac:dyDescent="0.15">
      <c r="A4">
        <f>IF(ISBLANK( OPERATION_TABLELIST[[#This Row],[物理名]]),"",ROW()-1)</f>
        <v>3</v>
      </c>
      <c r="B4" t="s">
        <v>1041</v>
      </c>
      <c r="C4" t="str">
        <f>IF(ISNA( VLOOKUP(D4,テーブル一覧2!$A$2:$B$505,2,FALSE)),"",VLOOKUP(D4,テーブル一覧2!$A$2:$B$505,2,FALSE))</f>
        <v>稼動計画－稼動実績計画－生産計画</v>
      </c>
      <c r="D4" s="6" t="s">
        <v>887</v>
      </c>
      <c r="E4" s="3" t="str">
        <f>OPERATION_TABLELIST[[#This Row],[テーブル名]]</f>
        <v>稼動計画－稼動実績計画－生産計画</v>
      </c>
    </row>
    <row r="5" spans="1:5" x14ac:dyDescent="0.15">
      <c r="A5">
        <f>IF(ISBLANK( OPERATION_TABLELIST[[#This Row],[物理名]]),"",ROW()-1)</f>
        <v>4</v>
      </c>
      <c r="B5" t="s">
        <v>1041</v>
      </c>
      <c r="C5" t="str">
        <f>IF(ISNA( VLOOKUP(D5,テーブル一覧2!$A$2:$B$505,2,FALSE)),"",VLOOKUP(D5,テーブル一覧2!$A$2:$B$505,2,FALSE))</f>
        <v>稼動計画－稼動付属情報</v>
      </c>
      <c r="D5" s="6" t="s">
        <v>7</v>
      </c>
      <c r="E5" s="3" t="str">
        <f>OPERATION_TABLELIST[[#This Row],[テーブル名]]</f>
        <v>稼動計画－稼動付属情報</v>
      </c>
    </row>
    <row r="6" spans="1:5" x14ac:dyDescent="0.15">
      <c r="A6">
        <f>IF(ISBLANK( OPERATION_TABLELIST[[#This Row],[物理名]]),"",ROW()-1)</f>
        <v>5</v>
      </c>
      <c r="B6" t="s">
        <v>1041</v>
      </c>
      <c r="C6" t="str">
        <f>IF(ISNA( VLOOKUP(D6,テーブル一覧2!$A$2:$B$505,2,FALSE)),"",VLOOKUP(D6,テーブル一覧2!$A$2:$B$505,2,FALSE))</f>
        <v>稼動計画－稼動実績基本－稼動パラメータ</v>
      </c>
      <c r="D6" s="6" t="s">
        <v>889</v>
      </c>
      <c r="E6" s="3" t="str">
        <f>OPERATION_TABLELIST[[#This Row],[テーブル名]]</f>
        <v>稼動計画－稼動実績基本－稼動パラメータ</v>
      </c>
    </row>
    <row r="7" spans="1:5" x14ac:dyDescent="0.15">
      <c r="A7">
        <f>IF(ISBLANK( OPERATION_TABLELIST[[#This Row],[物理名]]),"",ROW()-1)</f>
        <v>6</v>
      </c>
      <c r="B7" t="s">
        <v>1041</v>
      </c>
      <c r="C7" t="str">
        <f>IF(ISNA( VLOOKUP(D7,テーブル一覧2!$A$2:$B$505,2,FALSE)),"",VLOOKUP(D7,テーブル一覧2!$A$2:$B$505,2,FALSE))</f>
        <v>稼動計画－稼動実績基本－稼動パラメータ－計画値</v>
      </c>
      <c r="D7" s="6" t="s">
        <v>890</v>
      </c>
      <c r="E7" s="3" t="str">
        <f>OPERATION_TABLELIST[[#This Row],[テーブル名]]</f>
        <v>稼動計画－稼動実績基本－稼動パラメータ－計画値</v>
      </c>
    </row>
    <row r="8" spans="1:5" x14ac:dyDescent="0.15">
      <c r="A8">
        <f>IF(ISBLANK( OPERATION_TABLELIST[[#This Row],[物理名]]),"",ROW()-1)</f>
        <v>7</v>
      </c>
      <c r="B8" t="s">
        <v>1041</v>
      </c>
      <c r="C8" t="str">
        <f>IF(ISNA( VLOOKUP(D8,テーブル一覧2!$A$2:$B$505,2,FALSE)),"",VLOOKUP(D8,テーブル一覧2!$A$2:$B$505,2,FALSE))</f>
        <v>稼動計画－稼動実績能力</v>
      </c>
      <c r="D8" s="6" t="s">
        <v>892</v>
      </c>
      <c r="E8" s="3" t="str">
        <f>OPERATION_TABLELIST[[#This Row],[テーブル名]]</f>
        <v>稼動計画－稼動実績能力</v>
      </c>
    </row>
    <row r="9" spans="1:5" x14ac:dyDescent="0.15">
      <c r="A9">
        <f>IF(ISBLANK( OPERATION_TABLELIST[[#This Row],[物理名]]),"",ROW()-1)</f>
        <v>8</v>
      </c>
      <c r="B9" t="s">
        <v>1041</v>
      </c>
      <c r="C9" t="str">
        <f>IF(ISNA( VLOOKUP(D9,テーブル一覧2!$A$2:$B$505,2,FALSE)),"",VLOOKUP(D9,テーブル一覧2!$A$2:$B$505,2,FALSE))</f>
        <v>稼動計画－稼動実績能力－項目</v>
      </c>
      <c r="D9" s="6" t="s">
        <v>893</v>
      </c>
      <c r="E9" s="3" t="str">
        <f>OPERATION_TABLELIST[[#This Row],[テーブル名]]</f>
        <v>稼動計画－稼動実績能力－項目</v>
      </c>
    </row>
    <row r="10" spans="1:5" x14ac:dyDescent="0.15">
      <c r="A10">
        <f>IF(ISBLANK( OPERATION_TABLELIST[[#This Row],[物理名]]),"",ROW()-1)</f>
        <v>9</v>
      </c>
      <c r="B10" t="s">
        <v>1041</v>
      </c>
      <c r="C10" t="str">
        <f>IF(ISNA( VLOOKUP(D10,テーブル一覧2!$A$2:$B$505,2,FALSE)),"",VLOOKUP(D10,テーブル一覧2!$A$2:$B$505,2,FALSE))</f>
        <v>稼動計画－稼動実績点検</v>
      </c>
      <c r="D10" s="6" t="s">
        <v>894</v>
      </c>
      <c r="E10" s="3" t="str">
        <f>OPERATION_TABLELIST[[#This Row],[テーブル名]]</f>
        <v>稼動計画－稼動実績点検</v>
      </c>
    </row>
    <row r="11" spans="1:5" x14ac:dyDescent="0.15">
      <c r="A11">
        <f>IF(ISBLANK( OPERATION_TABLELIST[[#This Row],[物理名]]),"",ROW()-1)</f>
        <v>10</v>
      </c>
      <c r="B11" t="s">
        <v>1041</v>
      </c>
      <c r="C11" t="str">
        <f>IF(ISNA( VLOOKUP(D11,テーブル一覧2!$A$2:$B$505,2,FALSE)),"",VLOOKUP(D11,テーブル一覧2!$A$2:$B$505,2,FALSE))</f>
        <v>稼動計画－稼動実績点検－項目</v>
      </c>
      <c r="D11" s="6" t="s">
        <v>895</v>
      </c>
      <c r="E11" s="3" t="str">
        <f>OPERATION_TABLELIST[[#This Row],[テーブル名]]</f>
        <v>稼動計画－稼動実績点検－項目</v>
      </c>
    </row>
    <row r="12" spans="1:5" x14ac:dyDescent="0.15">
      <c r="A12">
        <f>IF(ISBLANK( OPERATION_TABLELIST[[#This Row],[物理名]]),"",ROW()-1)</f>
        <v>11</v>
      </c>
      <c r="B12" t="s">
        <v>1041</v>
      </c>
      <c r="C12" t="str">
        <f>IF(ISNA( VLOOKUP(D12,テーブル一覧2!$A$2:$B$505,2,FALSE)),"",VLOOKUP(D12,テーブル一覧2!$A$2:$B$505,2,FALSE))</f>
        <v>稼動計画－稼動実績交換</v>
      </c>
      <c r="D12" s="6" t="s">
        <v>896</v>
      </c>
      <c r="E12" t="str">
        <f>OPERATION_TABLELIST[[#This Row],[テーブル名]]</f>
        <v>稼動計画－稼動実績交換</v>
      </c>
    </row>
    <row r="13" spans="1:5" x14ac:dyDescent="0.15">
      <c r="A13">
        <f>IF(ISBLANK( OPERATION_TABLELIST[[#This Row],[物理名]]),"",ROW()-1)</f>
        <v>12</v>
      </c>
      <c r="B13" t="s">
        <v>1041</v>
      </c>
      <c r="C13" t="str">
        <f>IF(ISNA( VLOOKUP(D13,テーブル一覧2!$A$2:$B$505,2,FALSE)),"",VLOOKUP(D13,テーブル一覧2!$A$2:$B$505,2,FALSE))</f>
        <v>稼動計画－稼動実績交換－項目</v>
      </c>
      <c r="D13" s="6" t="s">
        <v>897</v>
      </c>
      <c r="E13" t="str">
        <f>OPERATION_TABLELIST[[#This Row],[テーブル名]]</f>
        <v>稼動計画－稼動実績交換－項目</v>
      </c>
    </row>
    <row r="14" spans="1:5" x14ac:dyDescent="0.15">
      <c r="A14">
        <f>IF(ISBLANK( OPERATION_TABLELIST[[#This Row],[物理名]]),"",ROW()-1)</f>
        <v>13</v>
      </c>
      <c r="B14" t="s">
        <v>1041</v>
      </c>
      <c r="C14" t="str">
        <f>IF(ISNA( VLOOKUP(D14,テーブル一覧2!$A$2:$B$505,2,FALSE)),"",VLOOKUP(D14,テーブル一覧2!$A$2:$B$505,2,FALSE))</f>
        <v>稼動計画－稼動異常</v>
      </c>
      <c r="D14" s="6" t="s">
        <v>898</v>
      </c>
      <c r="E14" t="str">
        <f>OPERATION_TABLELIST[[#This Row],[テーブル名]]</f>
        <v>稼動計画－稼動異常</v>
      </c>
    </row>
    <row r="15" spans="1:5" x14ac:dyDescent="0.15">
      <c r="A15">
        <f>IF(ISBLANK( OPERATION_TABLELIST[[#This Row],[物理名]]),"",ROW()-1)</f>
        <v>14</v>
      </c>
      <c r="B15" t="s">
        <v>1041</v>
      </c>
      <c r="C15" t="str">
        <f>IF(ISNA( VLOOKUP(D15,テーブル一覧2!$A$2:$B$505,2,FALSE)),"",VLOOKUP(D15,テーブル一覧2!$A$2:$B$505,2,FALSE))</f>
        <v>稼動計画－稼動異常－異常(ランク)</v>
      </c>
      <c r="D15" s="6" t="s">
        <v>899</v>
      </c>
      <c r="E15" t="str">
        <f>OPERATION_TABLELIST[[#This Row],[テーブル名]]</f>
        <v>稼動計画－稼動異常－異常(ランク)</v>
      </c>
    </row>
    <row r="16" spans="1:5" x14ac:dyDescent="0.15">
      <c r="A16">
        <f>IF(ISBLANK( OPERATION_TABLELIST[[#This Row],[物理名]]),"",ROW()-1)</f>
        <v>15</v>
      </c>
      <c r="B16" t="s">
        <v>1041</v>
      </c>
      <c r="C16" t="str">
        <f>IF(ISNA( VLOOKUP(D16,テーブル一覧2!$A$2:$B$505,2,FALSE)),"",VLOOKUP(D16,テーブル一覧2!$A$2:$B$505,2,FALSE))</f>
        <v>稼動計画－稼動異常－異常(ライン落ち)</v>
      </c>
      <c r="D16" s="6" t="s">
        <v>900</v>
      </c>
      <c r="E16" t="str">
        <f>OPERATION_TABLELIST[[#This Row],[テーブル名]]</f>
        <v>稼動計画－稼動異常－異常(ライン落ち)</v>
      </c>
    </row>
    <row r="17" spans="1:5" x14ac:dyDescent="0.15">
      <c r="A17">
        <f>IF(ISBLANK( OPERATION_TABLELIST[[#This Row],[物理名]]),"",ROW()-1)</f>
        <v>16</v>
      </c>
      <c r="B17" t="s">
        <v>1041</v>
      </c>
      <c r="C17" t="str">
        <f>IF(ISNA( VLOOKUP(D17,テーブル一覧2!$A$2:$B$505,2,FALSE)),"",VLOOKUP(D17,テーブル一覧2!$A$2:$B$505,2,FALSE))</f>
        <v>稼動計画－稼動異常－異常(何変)</v>
      </c>
      <c r="D17" s="6" t="s">
        <v>901</v>
      </c>
      <c r="E17" t="str">
        <f>OPERATION_TABLELIST[[#This Row],[テーブル名]]</f>
        <v>稼動計画－稼動異常－異常(何変)</v>
      </c>
    </row>
    <row r="18" spans="1:5" x14ac:dyDescent="0.15">
      <c r="A18">
        <f>IF(ISBLANK( OPERATION_TABLELIST[[#This Row],[物理名]]),"",ROW()-1)</f>
        <v>17</v>
      </c>
      <c r="B18" t="s">
        <v>1041</v>
      </c>
      <c r="C18" t="str">
        <f>IF(ISNA( VLOOKUP(D18,テーブル一覧2!$A$2:$B$505,2,FALSE)),"",VLOOKUP(D18,テーブル一覧2!$A$2:$B$505,2,FALSE))</f>
        <v>稼動計画－稼動異常－処置(分類)</v>
      </c>
      <c r="D18" s="6" t="s">
        <v>280</v>
      </c>
      <c r="E18" t="str">
        <f>OPERATION_TABLELIST[[#This Row],[テーブル名]]</f>
        <v>稼動計画－稼動異常－処置(分類)</v>
      </c>
    </row>
    <row r="19" spans="1:5" x14ac:dyDescent="0.15">
      <c r="A19">
        <f>IF(ISBLANK( OPERATION_TABLELIST[[#This Row],[物理名]]),"",ROW()-1)</f>
        <v>18</v>
      </c>
      <c r="B19" t="s">
        <v>1041</v>
      </c>
      <c r="C19" t="str">
        <f>IF(ISNA( VLOOKUP(D19,テーブル一覧2!$A$2:$B$505,2,FALSE)),"",VLOOKUP(D19,テーブル一覧2!$A$2:$B$505,2,FALSE))</f>
        <v>稼動計画－稼動異常－処置(不再現)</v>
      </c>
      <c r="D19" s="6" t="s">
        <v>903</v>
      </c>
      <c r="E19" t="str">
        <f>OPERATION_TABLELIST[[#This Row],[テーブル名]]</f>
        <v>稼動計画－稼動異常－処置(不再現)</v>
      </c>
    </row>
    <row r="20" spans="1:5" x14ac:dyDescent="0.15">
      <c r="A20">
        <f>IF(ISBLANK( OPERATION_TABLELIST[[#This Row],[物理名]]),"",ROW()-1)</f>
        <v>19</v>
      </c>
      <c r="B20" t="s">
        <v>1041</v>
      </c>
      <c r="C20" t="str">
        <f>IF(ISNA( VLOOKUP(D20,テーブル一覧2!$A$2:$B$505,2,FALSE)),"",VLOOKUP(D20,テーブル一覧2!$A$2:$B$505,2,FALSE))</f>
        <v>稼動計画－稼動異常－異常(発見区)</v>
      </c>
      <c r="D20" s="6" t="s">
        <v>902</v>
      </c>
      <c r="E20" t="str">
        <f>OPERATION_TABLELIST[[#This Row],[テーブル名]]</f>
        <v>稼動計画－稼動異常－異常(発見区)</v>
      </c>
    </row>
    <row r="21" spans="1:5" ht="14.25" customHeight="1" x14ac:dyDescent="0.15">
      <c r="A21">
        <f>IF(ISBLANK( OPERATION_TABLELIST[[#This Row],[物理名]]),"",ROW()-1)</f>
        <v>20</v>
      </c>
      <c r="B21" t="s">
        <v>1041</v>
      </c>
      <c r="C21" t="str">
        <f>IF(ISNA( VLOOKUP(D21,テーブル一覧2!$A$2:$B$505,2,FALSE)),"",VLOOKUP(D21,テーブル一覧2!$A$2:$B$505,2,FALSE))</f>
        <v>稼動計画－稼動異常－発生原因(責任区)</v>
      </c>
      <c r="D21" s="6" t="s">
        <v>904</v>
      </c>
      <c r="E21" t="str">
        <f>OPERATION_TABLELIST[[#This Row],[テーブル名]]</f>
        <v>稼動計画－稼動異常－発生原因(責任区)</v>
      </c>
    </row>
    <row r="22" spans="1:5" ht="15" customHeight="1" x14ac:dyDescent="0.15">
      <c r="A22">
        <f>IF(ISBLANK( OPERATION_TABLELIST[[#This Row],[物理名]]),"",ROW()-1)</f>
        <v>21</v>
      </c>
      <c r="B22" t="s">
        <v>1041</v>
      </c>
      <c r="C22" t="str">
        <f>IF(ISNA( VLOOKUP(D22,テーブル一覧2!$A$2:$B$505,2,FALSE)),"",VLOOKUP(D22,テーブル一覧2!$A$2:$B$505,2,FALSE))</f>
        <v>稼動計画－稼動異常－流出原因(責任区)</v>
      </c>
      <c r="D22" s="6" t="s">
        <v>906</v>
      </c>
      <c r="E22" t="str">
        <f>OPERATION_TABLELIST[[#This Row],[テーブル名]]</f>
        <v>稼動計画－稼動異常－流出原因(責任区)</v>
      </c>
    </row>
    <row r="23" spans="1:5" x14ac:dyDescent="0.15">
      <c r="A23">
        <f>IF(ISBLANK( OPERATION_TABLELIST[[#This Row],[物理名]]),"",ROW()-1)</f>
        <v>22</v>
      </c>
      <c r="B23" t="s">
        <v>1041</v>
      </c>
      <c r="C23" t="str">
        <f>IF(ISNA( VLOOKUP(D23,テーブル一覧2!$A$2:$B$505,2,FALSE)),"",VLOOKUP(D23,テーブル一覧2!$A$2:$B$505,2,FALSE))</f>
        <v>稼動計画－稼動異常－発生原因(発生区)</v>
      </c>
      <c r="D23" s="6" t="s">
        <v>905</v>
      </c>
      <c r="E23" t="str">
        <f>OPERATION_TABLELIST[[#This Row],[テーブル名]]</f>
        <v>稼動計画－稼動異常－発生原因(発生区)</v>
      </c>
    </row>
    <row r="24" spans="1:5" x14ac:dyDescent="0.15">
      <c r="A24">
        <f>IF(ISBLANK( OPERATION_TABLELIST[[#This Row],[物理名]]),"",ROW()-1)</f>
        <v>23</v>
      </c>
      <c r="B24" t="s">
        <v>1041</v>
      </c>
      <c r="C24" t="str">
        <f>IF(ISNA( VLOOKUP(D24,テーブル一覧2!$A$2:$B$505,2,FALSE)),"",VLOOKUP(D24,テーブル一覧2!$A$2:$B$505,2,FALSE))</f>
        <v>稼動計画－稼動異常－流出原因(発生区)</v>
      </c>
      <c r="D24" s="6" t="s">
        <v>907</v>
      </c>
      <c r="E24" t="str">
        <f>OPERATION_TABLELIST[[#This Row],[テーブル名]]</f>
        <v>稼動計画－稼動異常－流出原因(発生区)</v>
      </c>
    </row>
    <row r="25" spans="1:5" x14ac:dyDescent="0.15">
      <c r="A25">
        <f>IF(ISBLANK( OPERATION_TABLELIST[[#This Row],[物理名]]),"",ROW()-1)</f>
        <v>24</v>
      </c>
      <c r="B25" t="s">
        <v>1041</v>
      </c>
      <c r="C25" t="str">
        <f>IF(ISNA( VLOOKUP(D25,テーブル一覧2!$A$2:$B$505,2,FALSE)),"",VLOOKUP(D25,テーブル一覧2!$A$2:$B$505,2,FALSE))</f>
        <v>稼動計画－稼動異常－効果確認(判定)</v>
      </c>
      <c r="D25" s="6" t="s">
        <v>278</v>
      </c>
      <c r="E25" t="str">
        <f>OPERATION_TABLELIST[[#This Row],[テーブル名]]</f>
        <v>稼動計画－稼動異常－効果確認(判定)</v>
      </c>
    </row>
    <row r="26" spans="1:5" x14ac:dyDescent="0.15">
      <c r="A26">
        <f>IF(ISBLANK( OPERATION_TABLELIST[[#This Row],[物理名]]),"",ROW()-1)</f>
        <v>25</v>
      </c>
      <c r="B26" t="s">
        <v>1041</v>
      </c>
      <c r="C26" t="str">
        <f>IF(ISNA( VLOOKUP(D26,テーブル一覧2!$A$2:$B$505,2,FALSE)),"",VLOOKUP(D26,テーブル一覧2!$A$2:$B$505,2,FALSE))</f>
        <v>稼動計画－稼動異常－異常(区分)</v>
      </c>
      <c r="D26" s="6" t="s">
        <v>279</v>
      </c>
      <c r="E26" t="str">
        <f>OPERATION_TABLELIST[[#This Row],[テーブル名]]</f>
        <v>稼動計画－稼動異常－異常(区分)</v>
      </c>
    </row>
    <row r="27" spans="1:5" x14ac:dyDescent="0.15">
      <c r="A27">
        <f>IF(ISBLANK( OPERATION_TABLELIST[[#This Row],[物理名]]),"",ROW()-1)</f>
        <v>26</v>
      </c>
      <c r="B27" t="s">
        <v>1041</v>
      </c>
      <c r="C27" t="str">
        <f>IF(ISNA( VLOOKUP(D27,テーブル一覧2!$A$2:$B$505,2,FALSE)),"",VLOOKUP(D27,テーブル一覧2!$A$2:$B$505,2,FALSE))</f>
        <v>稼動計画－稼動異常－発生原因(分類)</v>
      </c>
      <c r="D27" s="6" t="s">
        <v>281</v>
      </c>
      <c r="E27" t="str">
        <f>OPERATION_TABLELIST[[#This Row],[テーブル名]]</f>
        <v>稼動計画－稼動異常－発生原因(分類)</v>
      </c>
    </row>
    <row r="28" spans="1:5" x14ac:dyDescent="0.15">
      <c r="A28">
        <f>IF(ISBLANK( OPERATION_TABLELIST[[#This Row],[物理名]]),"",ROW()-1)</f>
        <v>27</v>
      </c>
      <c r="B28" t="s">
        <v>1041</v>
      </c>
      <c r="C28" t="str">
        <f>IF(ISNA( VLOOKUP(D28,テーブル一覧2!$A$2:$B$505,2,FALSE)),"",VLOOKUP(D28,テーブル一覧2!$A$2:$B$505,2,FALSE))</f>
        <v>稼動計画－稼動異常－発生対策(分類)</v>
      </c>
      <c r="D28" s="6" t="s">
        <v>282</v>
      </c>
      <c r="E28" t="str">
        <f>OPERATION_TABLELIST[[#This Row],[テーブル名]]</f>
        <v>稼動計画－稼動異常－発生対策(分類)</v>
      </c>
    </row>
    <row r="29" spans="1:5" x14ac:dyDescent="0.15">
      <c r="A29">
        <f>IF(ISBLANK( OPERATION_TABLELIST[[#This Row],[物理名]]),"",ROW()-1)</f>
        <v>28</v>
      </c>
      <c r="B29" t="s">
        <v>1041</v>
      </c>
      <c r="C29" t="str">
        <f>IF(ISNA( VLOOKUP(D29,テーブル一覧2!$A$2:$B$505,2,FALSE)),"",VLOOKUP(D29,テーブル一覧2!$A$2:$B$505,2,FALSE))</f>
        <v>稼動計画－稼動異常－流出原因(分類)</v>
      </c>
      <c r="D29" s="6" t="s">
        <v>283</v>
      </c>
      <c r="E29" t="str">
        <f>OPERATION_TABLELIST[[#This Row],[テーブル名]]</f>
        <v>稼動計画－稼動異常－流出原因(分類)</v>
      </c>
    </row>
    <row r="30" spans="1:5" x14ac:dyDescent="0.15">
      <c r="A30">
        <f>IF(ISBLANK( OPERATION_TABLELIST[[#This Row],[物理名]]),"",ROW()-1)</f>
        <v>29</v>
      </c>
      <c r="B30" t="s">
        <v>1041</v>
      </c>
      <c r="C30" t="str">
        <f>IF(ISNA( VLOOKUP(D30,テーブル一覧2!$A$2:$B$505,2,FALSE)),"",VLOOKUP(D30,テーブル一覧2!$A$2:$B$505,2,FALSE))</f>
        <v>稼動計画－稼動異常－流出対策(分類)</v>
      </c>
      <c r="D30" s="6" t="s">
        <v>284</v>
      </c>
      <c r="E30" t="str">
        <f>OPERATION_TABLELIST[[#This Row],[テーブル名]]</f>
        <v>稼動計画－稼動異常－流出対策(分類)</v>
      </c>
    </row>
    <row r="31" spans="1:5" x14ac:dyDescent="0.15">
      <c r="A31">
        <f>IF(ISBLANK( OPERATION_TABLELIST[[#This Row],[物理名]]),"",ROW()-1)</f>
        <v>30</v>
      </c>
      <c r="B31" t="s">
        <v>1041</v>
      </c>
      <c r="C31" t="str">
        <f>IF(ISNA( VLOOKUP(D31,テーブル一覧2!$A$2:$B$505,2,FALSE)),"",VLOOKUP(D31,テーブル一覧2!$A$2:$B$505,2,FALSE))</f>
        <v>稼動計画－稼動異常－効果確認(内容)</v>
      </c>
      <c r="D31" s="6" t="s">
        <v>285</v>
      </c>
      <c r="E31" s="3" t="str">
        <f>OPERATION_TABLELIST[[#This Row],[テーブル名]]</f>
        <v>稼動計画－稼動異常－効果確認(内容)</v>
      </c>
    </row>
    <row r="32" spans="1:5" x14ac:dyDescent="0.15">
      <c r="A32">
        <f>IF(ISBLANK( OPERATION_TABLELIST[[#This Row],[物理名]]),"",ROW()-1)</f>
        <v>31</v>
      </c>
      <c r="B32" t="s">
        <v>1042</v>
      </c>
      <c r="C32" t="str">
        <f>IF(ISNA( VLOOKUP(D32,テーブル一覧2!$A$2:$B$505,2,FALSE)),"",VLOOKUP(D32,テーブル一覧2!$A$2:$B$505,2,FALSE))</f>
        <v>稼動実績－状況</v>
      </c>
      <c r="D32" s="6" t="s">
        <v>1043</v>
      </c>
      <c r="E32" t="str">
        <f>OPERATION_TABLELIST[[#This Row],[テーブル名]]</f>
        <v>稼動実績－状況</v>
      </c>
    </row>
    <row r="33" spans="1:5" x14ac:dyDescent="0.15">
      <c r="A33">
        <f>IF(ISBLANK( OPERATION_TABLELIST[[#This Row],[物理名]]),"",ROW()-1)</f>
        <v>32</v>
      </c>
      <c r="B33" t="s">
        <v>1042</v>
      </c>
      <c r="C33" t="str">
        <f>IF(ISNA( VLOOKUP(D33,テーブル一覧2!$A$2:$B$505,2,FALSE)),"",VLOOKUP(D33,テーブル一覧2!$A$2:$B$505,2,FALSE))</f>
        <v>稼動実績－稼動実績能力</v>
      </c>
      <c r="D33" s="6" t="s">
        <v>909</v>
      </c>
      <c r="E33" t="str">
        <f>OPERATION_TABLELIST[[#This Row],[テーブル名]]</f>
        <v>稼動実績－稼動実績能力</v>
      </c>
    </row>
    <row r="34" spans="1:5" x14ac:dyDescent="0.15">
      <c r="A34">
        <f>IF(ISBLANK( OPERATION_TABLELIST[[#This Row],[物理名]]),"",ROW()-1)</f>
        <v>33</v>
      </c>
      <c r="B34" t="s">
        <v>1042</v>
      </c>
      <c r="C34" t="str">
        <f>IF(ISNA( VLOOKUP(D34,テーブル一覧2!$A$2:$B$505,2,FALSE)),"",VLOOKUP(D34,テーブル一覧2!$A$2:$B$505,2,FALSE))</f>
        <v>稼動実績－品種別実績</v>
      </c>
      <c r="D34" s="6" t="s">
        <v>8</v>
      </c>
      <c r="E34" t="str">
        <f>OPERATION_TABLELIST[[#This Row],[テーブル名]]</f>
        <v>稼動実績－品種別実績</v>
      </c>
    </row>
    <row r="35" spans="1:5" x14ac:dyDescent="0.15">
      <c r="A35">
        <f>IF(ISBLANK( OPERATION_TABLELIST[[#This Row],[物理名]]),"",ROW()-1)</f>
        <v>34</v>
      </c>
      <c r="B35" t="s">
        <v>1042</v>
      </c>
      <c r="C35" t="str">
        <f>IF(ISNA( VLOOKUP(D35,テーブル一覧2!$A$2:$B$505,2,FALSE)),"",VLOOKUP(D35,テーブル一覧2!$A$2:$B$505,2,FALSE))</f>
        <v>稼動実績－品種別実績－サイクルタイム</v>
      </c>
      <c r="D35" s="6" t="s">
        <v>910</v>
      </c>
      <c r="E35" t="str">
        <f>OPERATION_TABLELIST[[#This Row],[テーブル名]]</f>
        <v>稼動実績－品種別実績－サイクルタイム</v>
      </c>
    </row>
    <row r="36" spans="1:5" x14ac:dyDescent="0.15">
      <c r="A36">
        <f>IF(ISBLANK( OPERATION_TABLELIST[[#This Row],[物理名]]),"",ROW()-1)</f>
        <v>35</v>
      </c>
      <c r="B36" t="s">
        <v>1042</v>
      </c>
      <c r="C36" t="str">
        <f>IF(ISNA( VLOOKUP(D36,テーブル一覧2!$A$2:$B$505,2,FALSE)),"",VLOOKUP(D36,テーブル一覧2!$A$2:$B$505,2,FALSE))</f>
        <v>稼動明細－稼動実績基本</v>
      </c>
      <c r="D36" s="6" t="s">
        <v>911</v>
      </c>
      <c r="E36" t="str">
        <f>OPERATION_TABLELIST[[#This Row],[テーブル名]]</f>
        <v>稼動明細－稼動実績基本</v>
      </c>
    </row>
    <row r="37" spans="1:5" x14ac:dyDescent="0.15">
      <c r="A37">
        <f>IF(ISBLANK( OPERATION_TABLELIST[[#This Row],[物理名]]),"",ROW()-1)</f>
        <v>36</v>
      </c>
      <c r="B37" t="s">
        <v>1042</v>
      </c>
      <c r="C37" t="str">
        <f>IF(ISNA( VLOOKUP(D37,テーブル一覧2!$A$2:$B$505,2,FALSE)),"",VLOOKUP(D37,テーブル一覧2!$A$2:$B$505,2,FALSE))</f>
        <v>稼動明細－稼動実績基本－稼動パラメータ</v>
      </c>
      <c r="D37" s="6" t="s">
        <v>912</v>
      </c>
      <c r="E37" t="str">
        <f>OPERATION_TABLELIST[[#This Row],[テーブル名]]</f>
        <v>稼動明細－稼動実績基本－稼動パラメータ</v>
      </c>
    </row>
    <row r="38" spans="1:5" x14ac:dyDescent="0.15">
      <c r="A38">
        <f>IF(ISBLANK( OPERATION_TABLELIST[[#This Row],[物理名]]),"",ROW()-1)</f>
        <v>37</v>
      </c>
      <c r="B38" t="s">
        <v>1042</v>
      </c>
      <c r="C38" t="str">
        <f>IF(ISNA( VLOOKUP(D38,テーブル一覧2!$A$2:$B$505,2,FALSE)),"",VLOOKUP(D38,テーブル一覧2!$A$2:$B$505,2,FALSE))</f>
        <v>稼動明細－稼動実績基本－稼動ステータス履歴</v>
      </c>
      <c r="D38" s="6" t="s">
        <v>913</v>
      </c>
      <c r="E38" t="str">
        <f>OPERATION_TABLELIST[[#This Row],[テーブル名]]</f>
        <v>稼動明細－稼動実績基本－稼動ステータス履歴</v>
      </c>
    </row>
    <row r="39" spans="1:5" x14ac:dyDescent="0.15">
      <c r="A39">
        <f>IF(ISBLANK( OPERATION_TABLELIST[[#This Row],[物理名]]),"",ROW()-1)</f>
        <v>38</v>
      </c>
      <c r="B39" t="s">
        <v>1042</v>
      </c>
      <c r="C39" t="str">
        <f>IF(ISNA( VLOOKUP(D39,テーブル一覧2!$A$2:$B$505,2,FALSE)),"",VLOOKUP(D39,テーブル一覧2!$A$2:$B$505,2,FALSE))</f>
        <v>稼動明細－稼動実績基本－稼働ステータス履歴－サイクルタイム</v>
      </c>
      <c r="D39" s="6" t="s">
        <v>914</v>
      </c>
      <c r="E39" t="str">
        <f>OPERATION_TABLELIST[[#This Row],[テーブル名]]</f>
        <v>稼動明細－稼動実績基本－稼働ステータス履歴－サイクルタイム</v>
      </c>
    </row>
    <row r="40" spans="1:5" x14ac:dyDescent="0.15">
      <c r="A40">
        <f>IF(ISBLANK( OPERATION_TABLELIST[[#This Row],[物理名]]),"",ROW()-1)</f>
        <v>39</v>
      </c>
      <c r="B40" t="s">
        <v>1042</v>
      </c>
      <c r="C40" t="str">
        <f>IF(ISNA( VLOOKUP(D40,テーブル一覧2!$A$2:$B$505,2,FALSE)),"",VLOOKUP(D40,テーブル一覧2!$A$2:$B$505,2,FALSE))</f>
        <v>稼動明細－稼動実績能力</v>
      </c>
      <c r="D40" s="6" t="s">
        <v>915</v>
      </c>
      <c r="E40" t="str">
        <f>OPERATION_TABLELIST[[#This Row],[テーブル名]]</f>
        <v>稼動明細－稼動実績能力</v>
      </c>
    </row>
    <row r="41" spans="1:5" x14ac:dyDescent="0.15">
      <c r="A41">
        <f>IF(ISBLANK( OPERATION_TABLELIST[[#This Row],[物理名]]),"",ROW()-1)</f>
        <v>40</v>
      </c>
      <c r="B41" t="s">
        <v>1042</v>
      </c>
      <c r="C41" t="str">
        <f>IF(ISNA( VLOOKUP(D41,テーブル一覧2!$A$2:$B$505,2,FALSE)),"",VLOOKUP(D41,テーブル一覧2!$A$2:$B$505,2,FALSE))</f>
        <v>稼動明細－稼動実績点検</v>
      </c>
      <c r="D41" s="6" t="s">
        <v>916</v>
      </c>
      <c r="E41" t="str">
        <f>OPERATION_TABLELIST[[#This Row],[テーブル名]]</f>
        <v>稼動明細－稼動実績点検</v>
      </c>
    </row>
    <row r="42" spans="1:5" x14ac:dyDescent="0.15">
      <c r="A42">
        <f>IF(ISBLANK( OPERATION_TABLELIST[[#This Row],[物理名]]),"",ROW()-1)</f>
        <v>41</v>
      </c>
      <c r="B42" t="s">
        <v>1042</v>
      </c>
      <c r="C42" t="str">
        <f>IF(ISNA( VLOOKUP(D42,テーブル一覧2!$A$2:$B$505,2,FALSE)),"",VLOOKUP(D42,テーブル一覧2!$A$2:$B$505,2,FALSE))</f>
        <v>稼動明細－稼動実績点検－添付</v>
      </c>
      <c r="D42" s="6" t="s">
        <v>917</v>
      </c>
      <c r="E42" t="str">
        <f>OPERATION_TABLELIST[[#This Row],[テーブル名]]</f>
        <v>稼動明細－稼動実績点検－添付</v>
      </c>
    </row>
    <row r="43" spans="1:5" x14ac:dyDescent="0.15">
      <c r="A43">
        <f>IF(ISBLANK( OPERATION_TABLELIST[[#This Row],[物理名]]),"",ROW()-1)</f>
        <v>42</v>
      </c>
      <c r="B43" t="s">
        <v>1042</v>
      </c>
      <c r="C43" t="str">
        <f>IF(ISNA( VLOOKUP(D43,テーブル一覧2!$A$2:$B$505,2,FALSE)),"",VLOOKUP(D43,テーブル一覧2!$A$2:$B$505,2,FALSE))</f>
        <v>稼動明細－稼動実績交換</v>
      </c>
      <c r="D43" s="6" t="s">
        <v>918</v>
      </c>
      <c r="E43" t="str">
        <f>OPERATION_TABLELIST[[#This Row],[テーブル名]]</f>
        <v>稼動明細－稼動実績交換</v>
      </c>
    </row>
    <row r="44" spans="1:5" x14ac:dyDescent="0.15">
      <c r="A44">
        <f>IF(ISBLANK( OPERATION_TABLELIST[[#This Row],[物理名]]),"",ROW()-1)</f>
        <v>43</v>
      </c>
      <c r="B44" t="s">
        <v>1042</v>
      </c>
      <c r="C44" t="str">
        <f>IF(ISNA( VLOOKUP(D44,テーブル一覧2!$A$2:$B$505,2,FALSE)),"",VLOOKUP(D44,テーブル一覧2!$A$2:$B$505,2,FALSE))</f>
        <v>稼動明細－稼動実績交換－添付</v>
      </c>
      <c r="D44" s="6" t="s">
        <v>919</v>
      </c>
      <c r="E44" t="str">
        <f>OPERATION_TABLELIST[[#This Row],[テーブル名]]</f>
        <v>稼動明細－稼動実績交換－添付</v>
      </c>
    </row>
    <row r="45" spans="1:5" x14ac:dyDescent="0.15">
      <c r="A45">
        <f>IF(ISBLANK( OPERATION_TABLELIST[[#This Row],[物理名]]),"",ROW()-1)</f>
        <v>44</v>
      </c>
      <c r="B45" t="s">
        <v>1042</v>
      </c>
      <c r="C45" t="str">
        <f>IF(ISNA( VLOOKUP(D45,テーブル一覧2!$A$2:$B$505,2,FALSE)),"",VLOOKUP(D45,テーブル一覧2!$A$2:$B$505,2,FALSE))</f>
        <v>稼動点検予実績－計画</v>
      </c>
      <c r="D45" s="6" t="s">
        <v>9</v>
      </c>
      <c r="E45" t="str">
        <f>OPERATION_TABLELIST[[#This Row],[テーブル名]]</f>
        <v>稼動点検予実績－計画</v>
      </c>
    </row>
    <row r="46" spans="1:5" x14ac:dyDescent="0.15">
      <c r="A46">
        <f>IF(ISBLANK( OPERATION_TABLELIST[[#This Row],[物理名]]),"",ROW()-1)</f>
        <v>45</v>
      </c>
      <c r="B46" t="s">
        <v>1042</v>
      </c>
      <c r="C46" t="str">
        <f>IF(ISNA( VLOOKUP(D46,テーブル一覧2!$A$2:$B$505,2,FALSE)),"",VLOOKUP(D46,テーブル一覧2!$A$2:$B$505,2,FALSE))</f>
        <v>稼動交換予実績－実績</v>
      </c>
      <c r="D46" s="6" t="s">
        <v>12</v>
      </c>
      <c r="E46" t="str">
        <f>OPERATION_TABLELIST[[#This Row],[テーブル名]]</f>
        <v>稼動交換予実績－実績</v>
      </c>
    </row>
    <row r="47" spans="1:5" x14ac:dyDescent="0.15">
      <c r="A47">
        <f>IF(ISBLANK( OPERATION_TABLELIST[[#This Row],[物理名]]),"",ROW()-1)</f>
        <v>46</v>
      </c>
      <c r="B47" t="s">
        <v>1042</v>
      </c>
      <c r="C47" t="str">
        <f>IF(ISNA( VLOOKUP(D47,テーブル一覧2!$A$2:$B$505,2,FALSE)),"",VLOOKUP(D47,テーブル一覧2!$A$2:$B$505,2,FALSE))</f>
        <v>品質異常・対応実績</v>
      </c>
      <c r="D47" s="6" t="s">
        <v>287</v>
      </c>
      <c r="E47" t="str">
        <f>OPERATION_TABLELIST[[#This Row],[テーブル名]]</f>
        <v>品質異常・対応実績</v>
      </c>
    </row>
    <row r="48" spans="1:5" x14ac:dyDescent="0.15">
      <c r="A48">
        <f>IF(ISBLANK( OPERATION_TABLELIST[[#This Row],[物理名]]),"",ROW()-1)</f>
        <v>47</v>
      </c>
      <c r="B48" t="s">
        <v>1042</v>
      </c>
      <c r="C48" t="str">
        <f>IF(ISNA( VLOOKUP(D48,テーブル一覧2!$A$2:$B$670,2,FALSE)),"",VLOOKUP(D48,テーブル一覧2!$A$2:$B$670,2,FALSE))</f>
        <v>生産異常・対応実績</v>
      </c>
      <c r="D48" s="6" t="s">
        <v>288</v>
      </c>
      <c r="E48" t="str">
        <f>OPERATION_TABLELIST[[#This Row],[テーブル名]]</f>
        <v>生産異常・対応実績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674"/>
  <sheetViews>
    <sheetView workbookViewId="0">
      <selection activeCell="E30" sqref="E30"/>
    </sheetView>
  </sheetViews>
  <sheetFormatPr defaultRowHeight="13.5" x14ac:dyDescent="0.15"/>
  <cols>
    <col min="1" max="1" width="63.375" customWidth="1"/>
    <col min="2" max="2" width="65" bestFit="1" customWidth="1"/>
  </cols>
  <sheetData>
    <row r="1" spans="1:2" x14ac:dyDescent="0.15">
      <c r="A1" s="20" t="s">
        <v>2875</v>
      </c>
      <c r="B1" s="20" t="s">
        <v>2876</v>
      </c>
    </row>
    <row r="2" spans="1:2" x14ac:dyDescent="0.15">
      <c r="A2" s="18" t="s">
        <v>675</v>
      </c>
      <c r="B2" s="18" t="s">
        <v>1535</v>
      </c>
    </row>
    <row r="3" spans="1:2" x14ac:dyDescent="0.15">
      <c r="A3" s="19" t="s">
        <v>676</v>
      </c>
      <c r="B3" s="19" t="s">
        <v>1536</v>
      </c>
    </row>
    <row r="4" spans="1:2" x14ac:dyDescent="0.15">
      <c r="A4" s="18" t="s">
        <v>677</v>
      </c>
      <c r="B4" s="18" t="s">
        <v>1537</v>
      </c>
    </row>
    <row r="5" spans="1:2" x14ac:dyDescent="0.15">
      <c r="A5" s="19" t="s">
        <v>1538</v>
      </c>
      <c r="B5" s="19" t="s">
        <v>1539</v>
      </c>
    </row>
    <row r="6" spans="1:2" x14ac:dyDescent="0.15">
      <c r="A6" s="18" t="s">
        <v>1540</v>
      </c>
      <c r="B6" s="18" t="s">
        <v>1541</v>
      </c>
    </row>
    <row r="7" spans="1:2" x14ac:dyDescent="0.15">
      <c r="A7" s="19" t="s">
        <v>1542</v>
      </c>
      <c r="B7" s="19" t="s">
        <v>1543</v>
      </c>
    </row>
    <row r="8" spans="1:2" x14ac:dyDescent="0.15">
      <c r="A8" s="18" t="s">
        <v>1544</v>
      </c>
      <c r="B8" s="18" t="s">
        <v>1545</v>
      </c>
    </row>
    <row r="9" spans="1:2" x14ac:dyDescent="0.15">
      <c r="A9" s="19" t="s">
        <v>1546</v>
      </c>
      <c r="B9" s="19" t="s">
        <v>1547</v>
      </c>
    </row>
    <row r="10" spans="1:2" x14ac:dyDescent="0.15">
      <c r="A10" s="18" t="s">
        <v>1548</v>
      </c>
      <c r="B10" s="18" t="s">
        <v>1549</v>
      </c>
    </row>
    <row r="11" spans="1:2" x14ac:dyDescent="0.15">
      <c r="A11" s="19" t="s">
        <v>1550</v>
      </c>
      <c r="B11" s="19" t="s">
        <v>1551</v>
      </c>
    </row>
    <row r="12" spans="1:2" x14ac:dyDescent="0.15">
      <c r="A12" s="18" t="s">
        <v>1552</v>
      </c>
      <c r="B12" s="18" t="s">
        <v>1553</v>
      </c>
    </row>
    <row r="13" spans="1:2" x14ac:dyDescent="0.15">
      <c r="A13" s="19" t="s">
        <v>1554</v>
      </c>
      <c r="B13" s="19" t="s">
        <v>1555</v>
      </c>
    </row>
    <row r="14" spans="1:2" x14ac:dyDescent="0.15">
      <c r="A14" s="18" t="s">
        <v>1556</v>
      </c>
      <c r="B14" s="18" t="s">
        <v>1557</v>
      </c>
    </row>
    <row r="15" spans="1:2" x14ac:dyDescent="0.15">
      <c r="A15" s="19" t="s">
        <v>1558</v>
      </c>
      <c r="B15" s="19" t="s">
        <v>1559</v>
      </c>
    </row>
    <row r="16" spans="1:2" x14ac:dyDescent="0.15">
      <c r="A16" s="18" t="s">
        <v>1560</v>
      </c>
      <c r="B16" s="18" t="s">
        <v>1561</v>
      </c>
    </row>
    <row r="17" spans="1:2" x14ac:dyDescent="0.15">
      <c r="A17" s="19" t="s">
        <v>1562</v>
      </c>
      <c r="B17" s="19" t="s">
        <v>1563</v>
      </c>
    </row>
    <row r="18" spans="1:2" x14ac:dyDescent="0.15">
      <c r="A18" s="18" t="s">
        <v>1564</v>
      </c>
      <c r="B18" s="18" t="s">
        <v>1565</v>
      </c>
    </row>
    <row r="19" spans="1:2" x14ac:dyDescent="0.15">
      <c r="A19" s="19" t="s">
        <v>1566</v>
      </c>
      <c r="B19" s="19" t="s">
        <v>1567</v>
      </c>
    </row>
    <row r="20" spans="1:2" x14ac:dyDescent="0.15">
      <c r="A20" s="18" t="s">
        <v>1568</v>
      </c>
      <c r="B20" s="18" t="s">
        <v>1569</v>
      </c>
    </row>
    <row r="21" spans="1:2" x14ac:dyDescent="0.15">
      <c r="A21" s="19" t="s">
        <v>1570</v>
      </c>
      <c r="B21" s="19" t="s">
        <v>1571</v>
      </c>
    </row>
    <row r="22" spans="1:2" x14ac:dyDescent="0.15">
      <c r="A22" s="18" t="s">
        <v>1572</v>
      </c>
      <c r="B22" s="18" t="s">
        <v>1573</v>
      </c>
    </row>
    <row r="23" spans="1:2" x14ac:dyDescent="0.15">
      <c r="A23" s="19" t="s">
        <v>1574</v>
      </c>
      <c r="B23" s="19" t="s">
        <v>1575</v>
      </c>
    </row>
    <row r="24" spans="1:2" x14ac:dyDescent="0.15">
      <c r="A24" s="18" t="s">
        <v>1576</v>
      </c>
      <c r="B24" s="18" t="s">
        <v>1577</v>
      </c>
    </row>
    <row r="25" spans="1:2" x14ac:dyDescent="0.15">
      <c r="A25" s="19" t="s">
        <v>1578</v>
      </c>
      <c r="B25" s="19" t="s">
        <v>1579</v>
      </c>
    </row>
    <row r="26" spans="1:2" x14ac:dyDescent="0.15">
      <c r="A26" s="18" t="s">
        <v>1580</v>
      </c>
      <c r="B26" s="18" t="s">
        <v>1581</v>
      </c>
    </row>
    <row r="27" spans="1:2" x14ac:dyDescent="0.15">
      <c r="A27" s="19" t="s">
        <v>1582</v>
      </c>
      <c r="B27" s="19" t="s">
        <v>1583</v>
      </c>
    </row>
    <row r="28" spans="1:2" x14ac:dyDescent="0.15">
      <c r="A28" s="18" t="s">
        <v>1584</v>
      </c>
      <c r="B28" s="18" t="s">
        <v>1585</v>
      </c>
    </row>
    <row r="29" spans="1:2" x14ac:dyDescent="0.15">
      <c r="A29" s="19" t="s">
        <v>1586</v>
      </c>
      <c r="B29" s="19" t="s">
        <v>1587</v>
      </c>
    </row>
    <row r="30" spans="1:2" x14ac:dyDescent="0.15">
      <c r="A30" s="18" t="s">
        <v>1588</v>
      </c>
      <c r="B30" s="18" t="s">
        <v>1589</v>
      </c>
    </row>
    <row r="31" spans="1:2" x14ac:dyDescent="0.15">
      <c r="A31" s="19" t="s">
        <v>1590</v>
      </c>
      <c r="B31" s="19" t="s">
        <v>1591</v>
      </c>
    </row>
    <row r="32" spans="1:2" x14ac:dyDescent="0.15">
      <c r="A32" s="18" t="s">
        <v>1592</v>
      </c>
      <c r="B32" s="18" t="s">
        <v>1593</v>
      </c>
    </row>
    <row r="33" spans="1:2" x14ac:dyDescent="0.15">
      <c r="A33" s="19" t="s">
        <v>1594</v>
      </c>
      <c r="B33" s="19" t="s">
        <v>1595</v>
      </c>
    </row>
    <row r="34" spans="1:2" x14ac:dyDescent="0.15">
      <c r="A34" s="18" t="s">
        <v>1596</v>
      </c>
      <c r="B34" s="18" t="s">
        <v>1597</v>
      </c>
    </row>
    <row r="35" spans="1:2" x14ac:dyDescent="0.15">
      <c r="A35" s="19" t="s">
        <v>1598</v>
      </c>
      <c r="B35" s="19" t="s">
        <v>1599</v>
      </c>
    </row>
    <row r="36" spans="1:2" x14ac:dyDescent="0.15">
      <c r="A36" s="18" t="s">
        <v>1600</v>
      </c>
      <c r="B36" s="18" t="s">
        <v>1601</v>
      </c>
    </row>
    <row r="37" spans="1:2" x14ac:dyDescent="0.15">
      <c r="A37" s="19" t="s">
        <v>1602</v>
      </c>
      <c r="B37" s="19" t="s">
        <v>1603</v>
      </c>
    </row>
    <row r="38" spans="1:2" x14ac:dyDescent="0.15">
      <c r="A38" s="18" t="s">
        <v>1604</v>
      </c>
      <c r="B38" s="18" t="s">
        <v>1605</v>
      </c>
    </row>
    <row r="39" spans="1:2" x14ac:dyDescent="0.15">
      <c r="A39" s="19" t="s">
        <v>1606</v>
      </c>
      <c r="B39" s="19" t="s">
        <v>1607</v>
      </c>
    </row>
    <row r="40" spans="1:2" x14ac:dyDescent="0.15">
      <c r="A40" s="18" t="s">
        <v>1608</v>
      </c>
      <c r="B40" s="18" t="s">
        <v>1609</v>
      </c>
    </row>
    <row r="41" spans="1:2" x14ac:dyDescent="0.15">
      <c r="A41" s="19" t="s">
        <v>1610</v>
      </c>
      <c r="B41" s="19" t="s">
        <v>1611</v>
      </c>
    </row>
    <row r="42" spans="1:2" x14ac:dyDescent="0.15">
      <c r="A42" s="18" t="s">
        <v>1612</v>
      </c>
      <c r="B42" s="18" t="s">
        <v>1613</v>
      </c>
    </row>
    <row r="43" spans="1:2" x14ac:dyDescent="0.15">
      <c r="A43" s="19" t="s">
        <v>1614</v>
      </c>
      <c r="B43" s="19" t="s">
        <v>1615</v>
      </c>
    </row>
    <row r="44" spans="1:2" x14ac:dyDescent="0.15">
      <c r="A44" s="18" t="s">
        <v>1616</v>
      </c>
      <c r="B44" s="18" t="s">
        <v>1617</v>
      </c>
    </row>
    <row r="45" spans="1:2" x14ac:dyDescent="0.15">
      <c r="A45" s="19" t="s">
        <v>1618</v>
      </c>
      <c r="B45" s="19" t="s">
        <v>1619</v>
      </c>
    </row>
    <row r="46" spans="1:2" x14ac:dyDescent="0.15">
      <c r="A46" s="18" t="s">
        <v>1620</v>
      </c>
      <c r="B46" s="18" t="s">
        <v>1621</v>
      </c>
    </row>
    <row r="47" spans="1:2" x14ac:dyDescent="0.15">
      <c r="A47" s="19" t="s">
        <v>1622</v>
      </c>
      <c r="B47" s="19" t="s">
        <v>1623</v>
      </c>
    </row>
    <row r="48" spans="1:2" x14ac:dyDescent="0.15">
      <c r="A48" s="18" t="s">
        <v>1624</v>
      </c>
      <c r="B48" s="18" t="s">
        <v>1625</v>
      </c>
    </row>
    <row r="49" spans="1:2" x14ac:dyDescent="0.15">
      <c r="A49" s="19" t="s">
        <v>1626</v>
      </c>
      <c r="B49" s="19" t="s">
        <v>1627</v>
      </c>
    </row>
    <row r="50" spans="1:2" x14ac:dyDescent="0.15">
      <c r="A50" s="18" t="s">
        <v>1628</v>
      </c>
      <c r="B50" s="18" t="s">
        <v>1629</v>
      </c>
    </row>
    <row r="51" spans="1:2" x14ac:dyDescent="0.15">
      <c r="A51" s="19" t="s">
        <v>1630</v>
      </c>
      <c r="B51" s="19" t="s">
        <v>1631</v>
      </c>
    </row>
    <row r="52" spans="1:2" x14ac:dyDescent="0.15">
      <c r="A52" s="18" t="s">
        <v>1632</v>
      </c>
      <c r="B52" s="18" t="s">
        <v>1633</v>
      </c>
    </row>
    <row r="53" spans="1:2" x14ac:dyDescent="0.15">
      <c r="A53" s="19" t="s">
        <v>1634</v>
      </c>
      <c r="B53" s="19" t="s">
        <v>1635</v>
      </c>
    </row>
    <row r="54" spans="1:2" x14ac:dyDescent="0.15">
      <c r="A54" s="18" t="s">
        <v>1636</v>
      </c>
      <c r="B54" s="18" t="s">
        <v>1637</v>
      </c>
    </row>
    <row r="55" spans="1:2" x14ac:dyDescent="0.15">
      <c r="A55" s="19" t="s">
        <v>1638</v>
      </c>
      <c r="B55" s="19" t="s">
        <v>1639</v>
      </c>
    </row>
    <row r="56" spans="1:2" x14ac:dyDescent="0.15">
      <c r="A56" s="18" t="s">
        <v>1640</v>
      </c>
      <c r="B56" s="18" t="s">
        <v>1641</v>
      </c>
    </row>
    <row r="57" spans="1:2" x14ac:dyDescent="0.15">
      <c r="A57" s="19" t="s">
        <v>1642</v>
      </c>
      <c r="B57" s="19" t="s">
        <v>1643</v>
      </c>
    </row>
    <row r="58" spans="1:2" x14ac:dyDescent="0.15">
      <c r="A58" s="18" t="s">
        <v>1644</v>
      </c>
      <c r="B58" s="18" t="s">
        <v>1645</v>
      </c>
    </row>
    <row r="59" spans="1:2" x14ac:dyDescent="0.15">
      <c r="A59" s="19" t="s">
        <v>1646</v>
      </c>
      <c r="B59" s="19" t="s">
        <v>1647</v>
      </c>
    </row>
    <row r="60" spans="1:2" x14ac:dyDescent="0.15">
      <c r="A60" s="18" t="s">
        <v>1648</v>
      </c>
      <c r="B60" s="18" t="s">
        <v>1649</v>
      </c>
    </row>
    <row r="61" spans="1:2" x14ac:dyDescent="0.15">
      <c r="A61" s="19" t="s">
        <v>1650</v>
      </c>
      <c r="B61" s="19" t="s">
        <v>1651</v>
      </c>
    </row>
    <row r="62" spans="1:2" x14ac:dyDescent="0.15">
      <c r="A62" s="18" t="s">
        <v>1652</v>
      </c>
      <c r="B62" s="18" t="s">
        <v>1653</v>
      </c>
    </row>
    <row r="63" spans="1:2" x14ac:dyDescent="0.15">
      <c r="A63" s="19" t="s">
        <v>1654</v>
      </c>
      <c r="B63" s="19" t="s">
        <v>1655</v>
      </c>
    </row>
    <row r="64" spans="1:2" x14ac:dyDescent="0.15">
      <c r="A64" s="18" t="s">
        <v>1656</v>
      </c>
      <c r="B64" s="18" t="s">
        <v>1657</v>
      </c>
    </row>
    <row r="65" spans="1:2" x14ac:dyDescent="0.15">
      <c r="A65" s="19" t="s">
        <v>1658</v>
      </c>
      <c r="B65" s="19" t="s">
        <v>1659</v>
      </c>
    </row>
    <row r="66" spans="1:2" x14ac:dyDescent="0.15">
      <c r="A66" s="18" t="s">
        <v>1660</v>
      </c>
      <c r="B66" s="18" t="s">
        <v>1661</v>
      </c>
    </row>
    <row r="67" spans="1:2" x14ac:dyDescent="0.15">
      <c r="A67" s="19" t="s">
        <v>1662</v>
      </c>
      <c r="B67" s="19" t="s">
        <v>1663</v>
      </c>
    </row>
    <row r="68" spans="1:2" x14ac:dyDescent="0.15">
      <c r="A68" s="18" t="s">
        <v>1664</v>
      </c>
      <c r="B68" s="18" t="s">
        <v>1665</v>
      </c>
    </row>
    <row r="69" spans="1:2" x14ac:dyDescent="0.15">
      <c r="A69" s="19" t="s">
        <v>1666</v>
      </c>
      <c r="B69" s="19" t="s">
        <v>1667</v>
      </c>
    </row>
    <row r="70" spans="1:2" x14ac:dyDescent="0.15">
      <c r="A70" s="18" t="s">
        <v>1668</v>
      </c>
      <c r="B70" s="18" t="s">
        <v>1669</v>
      </c>
    </row>
    <row r="71" spans="1:2" x14ac:dyDescent="0.15">
      <c r="A71" s="19" t="s">
        <v>1670</v>
      </c>
      <c r="B71" s="19" t="s">
        <v>1671</v>
      </c>
    </row>
    <row r="72" spans="1:2" x14ac:dyDescent="0.15">
      <c r="A72" s="18" t="s">
        <v>1672</v>
      </c>
      <c r="B72" s="18" t="s">
        <v>1673</v>
      </c>
    </row>
    <row r="73" spans="1:2" x14ac:dyDescent="0.15">
      <c r="A73" s="19" t="s">
        <v>1674</v>
      </c>
      <c r="B73" s="19" t="s">
        <v>1675</v>
      </c>
    </row>
    <row r="74" spans="1:2" x14ac:dyDescent="0.15">
      <c r="A74" s="18" t="s">
        <v>1676</v>
      </c>
      <c r="B74" s="18" t="s">
        <v>1677</v>
      </c>
    </row>
    <row r="75" spans="1:2" x14ac:dyDescent="0.15">
      <c r="A75" s="19" t="s">
        <v>1678</v>
      </c>
      <c r="B75" s="19" t="s">
        <v>1679</v>
      </c>
    </row>
    <row r="76" spans="1:2" x14ac:dyDescent="0.15">
      <c r="A76" s="18" t="s">
        <v>1680</v>
      </c>
      <c r="B76" s="18" t="s">
        <v>1681</v>
      </c>
    </row>
    <row r="77" spans="1:2" x14ac:dyDescent="0.15">
      <c r="A77" s="19" t="s">
        <v>1682</v>
      </c>
      <c r="B77" s="19" t="s">
        <v>1683</v>
      </c>
    </row>
    <row r="78" spans="1:2" x14ac:dyDescent="0.15">
      <c r="A78" s="18" t="s">
        <v>1684</v>
      </c>
      <c r="B78" s="18" t="s">
        <v>1685</v>
      </c>
    </row>
    <row r="79" spans="1:2" x14ac:dyDescent="0.15">
      <c r="A79" s="19" t="s">
        <v>1686</v>
      </c>
      <c r="B79" s="19" t="s">
        <v>1687</v>
      </c>
    </row>
    <row r="80" spans="1:2" x14ac:dyDescent="0.15">
      <c r="A80" s="18" t="s">
        <v>1688</v>
      </c>
      <c r="B80" s="18" t="s">
        <v>1689</v>
      </c>
    </row>
    <row r="81" spans="1:2" x14ac:dyDescent="0.15">
      <c r="A81" s="19" t="s">
        <v>1690</v>
      </c>
      <c r="B81" s="19" t="s">
        <v>1691</v>
      </c>
    </row>
    <row r="82" spans="1:2" x14ac:dyDescent="0.15">
      <c r="A82" s="18" t="s">
        <v>1692</v>
      </c>
      <c r="B82" s="18" t="s">
        <v>1693</v>
      </c>
    </row>
    <row r="83" spans="1:2" x14ac:dyDescent="0.15">
      <c r="A83" s="19" t="s">
        <v>1694</v>
      </c>
      <c r="B83" s="19" t="s">
        <v>1695</v>
      </c>
    </row>
    <row r="84" spans="1:2" x14ac:dyDescent="0.15">
      <c r="A84" s="18" t="s">
        <v>1696</v>
      </c>
      <c r="B84" s="18" t="s">
        <v>1697</v>
      </c>
    </row>
    <row r="85" spans="1:2" x14ac:dyDescent="0.15">
      <c r="A85" s="19" t="s">
        <v>1698</v>
      </c>
      <c r="B85" s="19" t="s">
        <v>1699</v>
      </c>
    </row>
    <row r="86" spans="1:2" x14ac:dyDescent="0.15">
      <c r="A86" s="18" t="s">
        <v>1700</v>
      </c>
      <c r="B86" s="18" t="s">
        <v>1701</v>
      </c>
    </row>
    <row r="87" spans="1:2" x14ac:dyDescent="0.15">
      <c r="A87" s="19" t="s">
        <v>1702</v>
      </c>
      <c r="B87" s="19" t="s">
        <v>1703</v>
      </c>
    </row>
    <row r="88" spans="1:2" x14ac:dyDescent="0.15">
      <c r="A88" s="18" t="s">
        <v>1704</v>
      </c>
      <c r="B88" s="18" t="s">
        <v>1705</v>
      </c>
    </row>
    <row r="89" spans="1:2" x14ac:dyDescent="0.15">
      <c r="A89" s="19" t="s">
        <v>1706</v>
      </c>
      <c r="B89" s="19" t="s">
        <v>1707</v>
      </c>
    </row>
    <row r="90" spans="1:2" x14ac:dyDescent="0.15">
      <c r="A90" s="18" t="s">
        <v>1708</v>
      </c>
      <c r="B90" s="18" t="s">
        <v>1709</v>
      </c>
    </row>
    <row r="91" spans="1:2" x14ac:dyDescent="0.15">
      <c r="A91" s="19" t="s">
        <v>1710</v>
      </c>
      <c r="B91" s="19" t="s">
        <v>1711</v>
      </c>
    </row>
    <row r="92" spans="1:2" x14ac:dyDescent="0.15">
      <c r="A92" s="18" t="s">
        <v>1712</v>
      </c>
      <c r="B92" s="18" t="s">
        <v>1713</v>
      </c>
    </row>
    <row r="93" spans="1:2" x14ac:dyDescent="0.15">
      <c r="A93" s="19" t="s">
        <v>1714</v>
      </c>
      <c r="B93" s="19" t="s">
        <v>1715</v>
      </c>
    </row>
    <row r="94" spans="1:2" x14ac:dyDescent="0.15">
      <c r="A94" s="18" t="s">
        <v>1716</v>
      </c>
      <c r="B94" s="18" t="s">
        <v>1717</v>
      </c>
    </row>
    <row r="95" spans="1:2" x14ac:dyDescent="0.15">
      <c r="A95" s="19" t="s">
        <v>1718</v>
      </c>
      <c r="B95" s="19" t="s">
        <v>1719</v>
      </c>
    </row>
    <row r="96" spans="1:2" x14ac:dyDescent="0.15">
      <c r="A96" s="18" t="s">
        <v>1720</v>
      </c>
      <c r="B96" s="18" t="s">
        <v>1721</v>
      </c>
    </row>
    <row r="97" spans="1:2" x14ac:dyDescent="0.15">
      <c r="A97" s="19" t="s">
        <v>1722</v>
      </c>
      <c r="B97" s="19" t="s">
        <v>1723</v>
      </c>
    </row>
    <row r="98" spans="1:2" x14ac:dyDescent="0.15">
      <c r="A98" s="18" t="s">
        <v>1724</v>
      </c>
      <c r="B98" s="18" t="s">
        <v>1725</v>
      </c>
    </row>
    <row r="99" spans="1:2" x14ac:dyDescent="0.15">
      <c r="A99" s="19" t="s">
        <v>1726</v>
      </c>
      <c r="B99" s="19" t="s">
        <v>1727</v>
      </c>
    </row>
    <row r="100" spans="1:2" x14ac:dyDescent="0.15">
      <c r="A100" s="18" t="s">
        <v>1728</v>
      </c>
      <c r="B100" s="18" t="s">
        <v>1729</v>
      </c>
    </row>
    <row r="101" spans="1:2" x14ac:dyDescent="0.15">
      <c r="A101" s="19" t="s">
        <v>1730</v>
      </c>
      <c r="B101" s="19" t="s">
        <v>1731</v>
      </c>
    </row>
    <row r="102" spans="1:2" x14ac:dyDescent="0.15">
      <c r="A102" s="18" t="s">
        <v>1732</v>
      </c>
      <c r="B102" s="18" t="s">
        <v>1733</v>
      </c>
    </row>
    <row r="103" spans="1:2" x14ac:dyDescent="0.15">
      <c r="A103" s="19" t="s">
        <v>1734</v>
      </c>
      <c r="B103" s="19" t="s">
        <v>1735</v>
      </c>
    </row>
    <row r="104" spans="1:2" x14ac:dyDescent="0.15">
      <c r="A104" s="18" t="s">
        <v>1736</v>
      </c>
      <c r="B104" s="18" t="s">
        <v>1737</v>
      </c>
    </row>
    <row r="105" spans="1:2" x14ac:dyDescent="0.15">
      <c r="A105" s="19" t="s">
        <v>1738</v>
      </c>
      <c r="B105" s="19" t="s">
        <v>1739</v>
      </c>
    </row>
    <row r="106" spans="1:2" x14ac:dyDescent="0.15">
      <c r="A106" s="18" t="s">
        <v>1740</v>
      </c>
      <c r="B106" s="18" t="s">
        <v>1741</v>
      </c>
    </row>
    <row r="107" spans="1:2" x14ac:dyDescent="0.15">
      <c r="A107" s="19" t="s">
        <v>1742</v>
      </c>
      <c r="B107" s="19" t="s">
        <v>1743</v>
      </c>
    </row>
    <row r="108" spans="1:2" x14ac:dyDescent="0.15">
      <c r="A108" s="18" t="s">
        <v>1744</v>
      </c>
      <c r="B108" s="18" t="s">
        <v>1745</v>
      </c>
    </row>
    <row r="109" spans="1:2" x14ac:dyDescent="0.15">
      <c r="A109" s="19" t="s">
        <v>1746</v>
      </c>
      <c r="B109" s="19" t="s">
        <v>1747</v>
      </c>
    </row>
    <row r="110" spans="1:2" x14ac:dyDescent="0.15">
      <c r="A110" s="18" t="s">
        <v>1748</v>
      </c>
      <c r="B110" s="18" t="s">
        <v>1749</v>
      </c>
    </row>
    <row r="111" spans="1:2" x14ac:dyDescent="0.15">
      <c r="A111" s="19" t="s">
        <v>1750</v>
      </c>
      <c r="B111" s="19" t="s">
        <v>1751</v>
      </c>
    </row>
    <row r="112" spans="1:2" x14ac:dyDescent="0.15">
      <c r="A112" s="18" t="s">
        <v>1752</v>
      </c>
      <c r="B112" s="18" t="s">
        <v>1753</v>
      </c>
    </row>
    <row r="113" spans="1:2" x14ac:dyDescent="0.15">
      <c r="A113" s="19" t="s">
        <v>1754</v>
      </c>
      <c r="B113" s="19" t="s">
        <v>1755</v>
      </c>
    </row>
    <row r="114" spans="1:2" x14ac:dyDescent="0.15">
      <c r="A114" s="18" t="s">
        <v>1756</v>
      </c>
      <c r="B114" s="18" t="s">
        <v>1757</v>
      </c>
    </row>
    <row r="115" spans="1:2" x14ac:dyDescent="0.15">
      <c r="A115" s="19" t="s">
        <v>1758</v>
      </c>
      <c r="B115" s="19" t="s">
        <v>1759</v>
      </c>
    </row>
    <row r="116" spans="1:2" x14ac:dyDescent="0.15">
      <c r="A116" s="18" t="s">
        <v>1760</v>
      </c>
      <c r="B116" s="18" t="s">
        <v>1761</v>
      </c>
    </row>
    <row r="117" spans="1:2" x14ac:dyDescent="0.15">
      <c r="A117" s="19" t="s">
        <v>1762</v>
      </c>
      <c r="B117" s="19" t="s">
        <v>1763</v>
      </c>
    </row>
    <row r="118" spans="1:2" x14ac:dyDescent="0.15">
      <c r="A118" s="18" t="s">
        <v>1764</v>
      </c>
      <c r="B118" s="18" t="s">
        <v>1765</v>
      </c>
    </row>
    <row r="119" spans="1:2" x14ac:dyDescent="0.15">
      <c r="A119" s="19" t="s">
        <v>1766</v>
      </c>
      <c r="B119" s="19" t="s">
        <v>1767</v>
      </c>
    </row>
    <row r="120" spans="1:2" x14ac:dyDescent="0.15">
      <c r="A120" s="18" t="s">
        <v>1768</v>
      </c>
      <c r="B120" s="18" t="s">
        <v>1769</v>
      </c>
    </row>
    <row r="121" spans="1:2" x14ac:dyDescent="0.15">
      <c r="A121" s="19" t="s">
        <v>1770</v>
      </c>
      <c r="B121" s="19" t="s">
        <v>1771</v>
      </c>
    </row>
    <row r="122" spans="1:2" x14ac:dyDescent="0.15">
      <c r="A122" s="18" t="s">
        <v>1772</v>
      </c>
      <c r="B122" s="18" t="s">
        <v>1773</v>
      </c>
    </row>
    <row r="123" spans="1:2" x14ac:dyDescent="0.15">
      <c r="A123" s="19" t="s">
        <v>1774</v>
      </c>
      <c r="B123" s="19" t="s">
        <v>1775</v>
      </c>
    </row>
    <row r="124" spans="1:2" x14ac:dyDescent="0.15">
      <c r="A124" s="18" t="s">
        <v>1776</v>
      </c>
      <c r="B124" s="18" t="s">
        <v>1777</v>
      </c>
    </row>
    <row r="125" spans="1:2" x14ac:dyDescent="0.15">
      <c r="A125" s="19" t="s">
        <v>1778</v>
      </c>
      <c r="B125" s="19" t="s">
        <v>1779</v>
      </c>
    </row>
    <row r="126" spans="1:2" x14ac:dyDescent="0.15">
      <c r="A126" s="18" t="s">
        <v>1780</v>
      </c>
      <c r="B126" s="18" t="s">
        <v>1781</v>
      </c>
    </row>
    <row r="127" spans="1:2" x14ac:dyDescent="0.15">
      <c r="A127" s="19" t="s">
        <v>1782</v>
      </c>
      <c r="B127" s="19" t="s">
        <v>1783</v>
      </c>
    </row>
    <row r="128" spans="1:2" x14ac:dyDescent="0.15">
      <c r="A128" s="18" t="s">
        <v>1784</v>
      </c>
      <c r="B128" s="18" t="s">
        <v>1785</v>
      </c>
    </row>
    <row r="129" spans="1:2" x14ac:dyDescent="0.15">
      <c r="A129" s="19" t="s">
        <v>1786</v>
      </c>
      <c r="B129" s="19" t="s">
        <v>1787</v>
      </c>
    </row>
    <row r="130" spans="1:2" x14ac:dyDescent="0.15">
      <c r="A130" s="18" t="s">
        <v>1788</v>
      </c>
      <c r="B130" s="18" t="s">
        <v>1789</v>
      </c>
    </row>
    <row r="131" spans="1:2" x14ac:dyDescent="0.15">
      <c r="A131" s="19" t="s">
        <v>1790</v>
      </c>
      <c r="B131" s="19" t="s">
        <v>1791</v>
      </c>
    </row>
    <row r="132" spans="1:2" x14ac:dyDescent="0.15">
      <c r="A132" s="18" t="s">
        <v>1792</v>
      </c>
      <c r="B132" s="18" t="s">
        <v>1793</v>
      </c>
    </row>
    <row r="133" spans="1:2" x14ac:dyDescent="0.15">
      <c r="A133" s="19" t="s">
        <v>1794</v>
      </c>
      <c r="B133" s="19" t="s">
        <v>1795</v>
      </c>
    </row>
    <row r="134" spans="1:2" x14ac:dyDescent="0.15">
      <c r="A134" s="18" t="s">
        <v>1796</v>
      </c>
      <c r="B134" s="18" t="s">
        <v>1797</v>
      </c>
    </row>
    <row r="135" spans="1:2" x14ac:dyDescent="0.15">
      <c r="A135" s="19" t="s">
        <v>1798</v>
      </c>
      <c r="B135" s="19" t="s">
        <v>1799</v>
      </c>
    </row>
    <row r="136" spans="1:2" x14ac:dyDescent="0.15">
      <c r="A136" s="18" t="s">
        <v>1800</v>
      </c>
      <c r="B136" s="18" t="s">
        <v>1801</v>
      </c>
    </row>
    <row r="137" spans="1:2" x14ac:dyDescent="0.15">
      <c r="A137" s="19" t="s">
        <v>1802</v>
      </c>
      <c r="B137" s="19" t="s">
        <v>1803</v>
      </c>
    </row>
    <row r="138" spans="1:2" x14ac:dyDescent="0.15">
      <c r="A138" s="18" t="s">
        <v>1804</v>
      </c>
      <c r="B138" s="18" t="s">
        <v>1805</v>
      </c>
    </row>
    <row r="139" spans="1:2" x14ac:dyDescent="0.15">
      <c r="A139" s="19" t="s">
        <v>1806</v>
      </c>
      <c r="B139" s="19" t="s">
        <v>1807</v>
      </c>
    </row>
    <row r="140" spans="1:2" x14ac:dyDescent="0.15">
      <c r="A140" s="18" t="s">
        <v>1808</v>
      </c>
      <c r="B140" s="18" t="s">
        <v>1809</v>
      </c>
    </row>
    <row r="141" spans="1:2" x14ac:dyDescent="0.15">
      <c r="A141" s="19" t="s">
        <v>1810</v>
      </c>
      <c r="B141" s="19" t="s">
        <v>1811</v>
      </c>
    </row>
    <row r="142" spans="1:2" x14ac:dyDescent="0.15">
      <c r="A142" s="18" t="s">
        <v>1812</v>
      </c>
      <c r="B142" s="18" t="s">
        <v>1813</v>
      </c>
    </row>
    <row r="143" spans="1:2" x14ac:dyDescent="0.15">
      <c r="A143" s="19" t="s">
        <v>1814</v>
      </c>
      <c r="B143" s="19" t="s">
        <v>1815</v>
      </c>
    </row>
    <row r="144" spans="1:2" x14ac:dyDescent="0.15">
      <c r="A144" s="18" t="s">
        <v>1816</v>
      </c>
      <c r="B144" s="18" t="s">
        <v>1817</v>
      </c>
    </row>
    <row r="145" spans="1:2" x14ac:dyDescent="0.15">
      <c r="A145" s="19" t="s">
        <v>1818</v>
      </c>
      <c r="B145" s="19" t="s">
        <v>1819</v>
      </c>
    </row>
    <row r="146" spans="1:2" x14ac:dyDescent="0.15">
      <c r="A146" s="18" t="s">
        <v>1820</v>
      </c>
      <c r="B146" s="18" t="s">
        <v>1821</v>
      </c>
    </row>
    <row r="147" spans="1:2" x14ac:dyDescent="0.15">
      <c r="A147" s="19" t="s">
        <v>1822</v>
      </c>
      <c r="B147" s="19" t="s">
        <v>1823</v>
      </c>
    </row>
    <row r="148" spans="1:2" x14ac:dyDescent="0.15">
      <c r="A148" s="18" t="s">
        <v>1824</v>
      </c>
      <c r="B148" s="18" t="s">
        <v>1825</v>
      </c>
    </row>
    <row r="149" spans="1:2" x14ac:dyDescent="0.15">
      <c r="A149" s="19" t="s">
        <v>1826</v>
      </c>
      <c r="B149" s="19" t="s">
        <v>1827</v>
      </c>
    </row>
    <row r="150" spans="1:2" x14ac:dyDescent="0.15">
      <c r="A150" s="18" t="s">
        <v>1828</v>
      </c>
      <c r="B150" s="18" t="s">
        <v>1829</v>
      </c>
    </row>
    <row r="151" spans="1:2" x14ac:dyDescent="0.15">
      <c r="A151" s="19" t="s">
        <v>1830</v>
      </c>
      <c r="B151" s="19" t="s">
        <v>1831</v>
      </c>
    </row>
    <row r="152" spans="1:2" x14ac:dyDescent="0.15">
      <c r="A152" s="18" t="s">
        <v>1832</v>
      </c>
      <c r="B152" s="18" t="s">
        <v>1833</v>
      </c>
    </row>
    <row r="153" spans="1:2" x14ac:dyDescent="0.15">
      <c r="A153" s="19" t="s">
        <v>1834</v>
      </c>
      <c r="B153" s="19" t="s">
        <v>1835</v>
      </c>
    </row>
    <row r="154" spans="1:2" x14ac:dyDescent="0.15">
      <c r="A154" s="18" t="s">
        <v>1836</v>
      </c>
      <c r="B154" s="18" t="s">
        <v>1837</v>
      </c>
    </row>
    <row r="155" spans="1:2" x14ac:dyDescent="0.15">
      <c r="A155" s="19" t="s">
        <v>1838</v>
      </c>
      <c r="B155" s="19" t="s">
        <v>1839</v>
      </c>
    </row>
    <row r="156" spans="1:2" x14ac:dyDescent="0.15">
      <c r="A156" s="18" t="s">
        <v>1840</v>
      </c>
      <c r="B156" s="18" t="s">
        <v>1841</v>
      </c>
    </row>
    <row r="157" spans="1:2" x14ac:dyDescent="0.15">
      <c r="A157" s="19" t="s">
        <v>1842</v>
      </c>
      <c r="B157" s="19" t="s">
        <v>1843</v>
      </c>
    </row>
    <row r="158" spans="1:2" x14ac:dyDescent="0.15">
      <c r="A158" s="18" t="s">
        <v>1844</v>
      </c>
      <c r="B158" s="18" t="s">
        <v>1845</v>
      </c>
    </row>
    <row r="159" spans="1:2" x14ac:dyDescent="0.15">
      <c r="A159" s="19" t="s">
        <v>1846</v>
      </c>
      <c r="B159" s="19" t="s">
        <v>1847</v>
      </c>
    </row>
    <row r="160" spans="1:2" x14ac:dyDescent="0.15">
      <c r="A160" s="18" t="s">
        <v>1848</v>
      </c>
      <c r="B160" s="18" t="s">
        <v>1849</v>
      </c>
    </row>
    <row r="161" spans="1:2" x14ac:dyDescent="0.15">
      <c r="A161" s="19" t="s">
        <v>1850</v>
      </c>
      <c r="B161" s="19" t="s">
        <v>1851</v>
      </c>
    </row>
    <row r="162" spans="1:2" x14ac:dyDescent="0.15">
      <c r="A162" s="18" t="s">
        <v>1852</v>
      </c>
      <c r="B162" s="18" t="s">
        <v>1853</v>
      </c>
    </row>
    <row r="163" spans="1:2" x14ac:dyDescent="0.15">
      <c r="A163" s="19" t="s">
        <v>1854</v>
      </c>
      <c r="B163" s="19" t="s">
        <v>1855</v>
      </c>
    </row>
    <row r="164" spans="1:2" x14ac:dyDescent="0.15">
      <c r="A164" s="18" t="s">
        <v>1856</v>
      </c>
      <c r="B164" s="18" t="s">
        <v>1857</v>
      </c>
    </row>
    <row r="165" spans="1:2" x14ac:dyDescent="0.15">
      <c r="A165" s="19" t="s">
        <v>1858</v>
      </c>
      <c r="B165" s="19" t="s">
        <v>1859</v>
      </c>
    </row>
    <row r="166" spans="1:2" x14ac:dyDescent="0.15">
      <c r="A166" s="18" t="s">
        <v>1860</v>
      </c>
      <c r="B166" s="18" t="s">
        <v>1861</v>
      </c>
    </row>
    <row r="167" spans="1:2" x14ac:dyDescent="0.15">
      <c r="A167" s="19" t="s">
        <v>1862</v>
      </c>
      <c r="B167" s="19" t="s">
        <v>1863</v>
      </c>
    </row>
    <row r="168" spans="1:2" x14ac:dyDescent="0.15">
      <c r="A168" s="18" t="s">
        <v>1864</v>
      </c>
      <c r="B168" s="18" t="s">
        <v>1865</v>
      </c>
    </row>
    <row r="169" spans="1:2" x14ac:dyDescent="0.15">
      <c r="A169" s="19" t="s">
        <v>1866</v>
      </c>
      <c r="B169" s="19" t="s">
        <v>1867</v>
      </c>
    </row>
    <row r="170" spans="1:2" x14ac:dyDescent="0.15">
      <c r="A170" s="18" t="s">
        <v>1868</v>
      </c>
      <c r="B170" s="18" t="s">
        <v>1869</v>
      </c>
    </row>
    <row r="171" spans="1:2" x14ac:dyDescent="0.15">
      <c r="A171" s="19" t="s">
        <v>1870</v>
      </c>
      <c r="B171" s="19" t="s">
        <v>1871</v>
      </c>
    </row>
    <row r="172" spans="1:2" x14ac:dyDescent="0.15">
      <c r="A172" s="18" t="s">
        <v>1872</v>
      </c>
      <c r="B172" s="18" t="s">
        <v>1873</v>
      </c>
    </row>
    <row r="173" spans="1:2" x14ac:dyDescent="0.15">
      <c r="A173" s="19" t="s">
        <v>1874</v>
      </c>
      <c r="B173" s="19" t="s">
        <v>1875</v>
      </c>
    </row>
    <row r="174" spans="1:2" x14ac:dyDescent="0.15">
      <c r="A174" s="18" t="s">
        <v>1876</v>
      </c>
      <c r="B174" s="18" t="s">
        <v>1877</v>
      </c>
    </row>
    <row r="175" spans="1:2" x14ac:dyDescent="0.15">
      <c r="A175" s="19" t="s">
        <v>1878</v>
      </c>
      <c r="B175" s="19" t="s">
        <v>1879</v>
      </c>
    </row>
    <row r="176" spans="1:2" x14ac:dyDescent="0.15">
      <c r="A176" s="18" t="s">
        <v>1880</v>
      </c>
      <c r="B176" s="18" t="s">
        <v>1881</v>
      </c>
    </row>
    <row r="177" spans="1:2" x14ac:dyDescent="0.15">
      <c r="A177" s="19" t="s">
        <v>1882</v>
      </c>
      <c r="B177" s="19" t="s">
        <v>1883</v>
      </c>
    </row>
    <row r="178" spans="1:2" x14ac:dyDescent="0.15">
      <c r="A178" s="18" t="s">
        <v>1884</v>
      </c>
      <c r="B178" s="18" t="s">
        <v>1885</v>
      </c>
    </row>
    <row r="179" spans="1:2" x14ac:dyDescent="0.15">
      <c r="A179" s="19" t="s">
        <v>1886</v>
      </c>
      <c r="B179" s="19" t="s">
        <v>1887</v>
      </c>
    </row>
    <row r="180" spans="1:2" x14ac:dyDescent="0.15">
      <c r="A180" s="18" t="s">
        <v>1888</v>
      </c>
      <c r="B180" s="18" t="s">
        <v>1889</v>
      </c>
    </row>
    <row r="181" spans="1:2" x14ac:dyDescent="0.15">
      <c r="A181" s="19" t="s">
        <v>1890</v>
      </c>
      <c r="B181" s="19" t="s">
        <v>1891</v>
      </c>
    </row>
    <row r="182" spans="1:2" x14ac:dyDescent="0.15">
      <c r="A182" s="18" t="s">
        <v>1892</v>
      </c>
      <c r="B182" s="18" t="s">
        <v>1893</v>
      </c>
    </row>
    <row r="183" spans="1:2" x14ac:dyDescent="0.15">
      <c r="A183" s="19" t="s">
        <v>1894</v>
      </c>
      <c r="B183" s="19" t="s">
        <v>1895</v>
      </c>
    </row>
    <row r="184" spans="1:2" x14ac:dyDescent="0.15">
      <c r="A184" s="18" t="s">
        <v>1896</v>
      </c>
      <c r="B184" s="18" t="s">
        <v>1897</v>
      </c>
    </row>
    <row r="185" spans="1:2" x14ac:dyDescent="0.15">
      <c r="A185" s="19" t="s">
        <v>1898</v>
      </c>
      <c r="B185" s="19" t="s">
        <v>1899</v>
      </c>
    </row>
    <row r="186" spans="1:2" x14ac:dyDescent="0.15">
      <c r="A186" s="18" t="s">
        <v>1900</v>
      </c>
      <c r="B186" s="18" t="s">
        <v>1901</v>
      </c>
    </row>
    <row r="187" spans="1:2" x14ac:dyDescent="0.15">
      <c r="A187" s="19" t="s">
        <v>1902</v>
      </c>
      <c r="B187" s="19" t="s">
        <v>1903</v>
      </c>
    </row>
    <row r="188" spans="1:2" x14ac:dyDescent="0.15">
      <c r="A188" s="18" t="s">
        <v>1904</v>
      </c>
      <c r="B188" s="18" t="s">
        <v>1905</v>
      </c>
    </row>
    <row r="189" spans="1:2" x14ac:dyDescent="0.15">
      <c r="A189" s="19" t="s">
        <v>1906</v>
      </c>
      <c r="B189" s="19" t="s">
        <v>1907</v>
      </c>
    </row>
    <row r="190" spans="1:2" x14ac:dyDescent="0.15">
      <c r="A190" s="18" t="s">
        <v>1908</v>
      </c>
      <c r="B190" s="18" t="s">
        <v>1909</v>
      </c>
    </row>
    <row r="191" spans="1:2" x14ac:dyDescent="0.15">
      <c r="A191" s="19" t="s">
        <v>1910</v>
      </c>
      <c r="B191" s="19" t="s">
        <v>1911</v>
      </c>
    </row>
    <row r="192" spans="1:2" x14ac:dyDescent="0.15">
      <c r="A192" s="18" t="s">
        <v>1912</v>
      </c>
      <c r="B192" s="18" t="s">
        <v>1913</v>
      </c>
    </row>
    <row r="193" spans="1:2" x14ac:dyDescent="0.15">
      <c r="A193" s="19" t="s">
        <v>1914</v>
      </c>
      <c r="B193" s="19" t="s">
        <v>1915</v>
      </c>
    </row>
    <row r="194" spans="1:2" x14ac:dyDescent="0.15">
      <c r="A194" s="18" t="s">
        <v>1916</v>
      </c>
      <c r="B194" s="18" t="s">
        <v>1917</v>
      </c>
    </row>
    <row r="195" spans="1:2" x14ac:dyDescent="0.15">
      <c r="A195" s="19" t="s">
        <v>1918</v>
      </c>
      <c r="B195" s="19" t="s">
        <v>1919</v>
      </c>
    </row>
    <row r="196" spans="1:2" x14ac:dyDescent="0.15">
      <c r="A196" s="18" t="s">
        <v>1920</v>
      </c>
      <c r="B196" s="18" t="s">
        <v>1921</v>
      </c>
    </row>
    <row r="197" spans="1:2" x14ac:dyDescent="0.15">
      <c r="A197" s="19" t="s">
        <v>1922</v>
      </c>
      <c r="B197" s="19" t="s">
        <v>1923</v>
      </c>
    </row>
    <row r="198" spans="1:2" x14ac:dyDescent="0.15">
      <c r="A198" s="18" t="s">
        <v>1924</v>
      </c>
      <c r="B198" s="18" t="s">
        <v>1925</v>
      </c>
    </row>
    <row r="199" spans="1:2" x14ac:dyDescent="0.15">
      <c r="A199" s="19" t="s">
        <v>1926</v>
      </c>
      <c r="B199" s="19" t="s">
        <v>1927</v>
      </c>
    </row>
    <row r="200" spans="1:2" x14ac:dyDescent="0.15">
      <c r="A200" s="18" t="s">
        <v>1928</v>
      </c>
      <c r="B200" s="18" t="s">
        <v>1929</v>
      </c>
    </row>
    <row r="201" spans="1:2" x14ac:dyDescent="0.15">
      <c r="A201" s="19" t="s">
        <v>1930</v>
      </c>
      <c r="B201" s="19" t="s">
        <v>1931</v>
      </c>
    </row>
    <row r="202" spans="1:2" x14ac:dyDescent="0.15">
      <c r="A202" s="18" t="s">
        <v>1932</v>
      </c>
      <c r="B202" s="18" t="s">
        <v>1933</v>
      </c>
    </row>
    <row r="203" spans="1:2" x14ac:dyDescent="0.15">
      <c r="A203" s="19" t="s">
        <v>1934</v>
      </c>
      <c r="B203" s="19" t="s">
        <v>1935</v>
      </c>
    </row>
    <row r="204" spans="1:2" x14ac:dyDescent="0.15">
      <c r="A204" s="18" t="s">
        <v>1936</v>
      </c>
      <c r="B204" s="18" t="s">
        <v>1937</v>
      </c>
    </row>
    <row r="205" spans="1:2" x14ac:dyDescent="0.15">
      <c r="A205" s="19" t="s">
        <v>1938</v>
      </c>
      <c r="B205" s="19" t="s">
        <v>1939</v>
      </c>
    </row>
    <row r="206" spans="1:2" x14ac:dyDescent="0.15">
      <c r="A206" s="18" t="s">
        <v>1940</v>
      </c>
      <c r="B206" s="18" t="s">
        <v>1941</v>
      </c>
    </row>
    <row r="207" spans="1:2" x14ac:dyDescent="0.15">
      <c r="A207" s="19" t="s">
        <v>1942</v>
      </c>
      <c r="B207" s="19" t="s">
        <v>1943</v>
      </c>
    </row>
    <row r="208" spans="1:2" x14ac:dyDescent="0.15">
      <c r="A208" s="18" t="s">
        <v>1944</v>
      </c>
      <c r="B208" s="18" t="s">
        <v>1945</v>
      </c>
    </row>
    <row r="209" spans="1:2" x14ac:dyDescent="0.15">
      <c r="A209" s="19" t="s">
        <v>1946</v>
      </c>
      <c r="B209" s="19" t="s">
        <v>1947</v>
      </c>
    </row>
    <row r="210" spans="1:2" x14ac:dyDescent="0.15">
      <c r="A210" s="18" t="s">
        <v>1948</v>
      </c>
      <c r="B210" s="18" t="s">
        <v>1949</v>
      </c>
    </row>
    <row r="211" spans="1:2" x14ac:dyDescent="0.15">
      <c r="A211" s="19" t="s">
        <v>1950</v>
      </c>
      <c r="B211" s="19" t="s">
        <v>1951</v>
      </c>
    </row>
    <row r="212" spans="1:2" x14ac:dyDescent="0.15">
      <c r="A212" s="18" t="s">
        <v>1952</v>
      </c>
      <c r="B212" s="18" t="s">
        <v>1953</v>
      </c>
    </row>
    <row r="213" spans="1:2" x14ac:dyDescent="0.15">
      <c r="A213" s="19" t="s">
        <v>1954</v>
      </c>
      <c r="B213" s="19" t="s">
        <v>1955</v>
      </c>
    </row>
    <row r="214" spans="1:2" x14ac:dyDescent="0.15">
      <c r="A214" s="18" t="s">
        <v>1956</v>
      </c>
      <c r="B214" s="18" t="s">
        <v>1957</v>
      </c>
    </row>
    <row r="215" spans="1:2" x14ac:dyDescent="0.15">
      <c r="A215" s="19" t="s">
        <v>1958</v>
      </c>
      <c r="B215" s="19" t="s">
        <v>1959</v>
      </c>
    </row>
    <row r="216" spans="1:2" x14ac:dyDescent="0.15">
      <c r="A216" s="18" t="s">
        <v>1960</v>
      </c>
      <c r="B216" s="18" t="s">
        <v>1961</v>
      </c>
    </row>
    <row r="217" spans="1:2" x14ac:dyDescent="0.15">
      <c r="A217" s="19" t="s">
        <v>1962</v>
      </c>
      <c r="B217" s="19" t="s">
        <v>1963</v>
      </c>
    </row>
    <row r="218" spans="1:2" x14ac:dyDescent="0.15">
      <c r="A218" s="18" t="s">
        <v>1964</v>
      </c>
      <c r="B218" s="18" t="s">
        <v>1965</v>
      </c>
    </row>
    <row r="219" spans="1:2" x14ac:dyDescent="0.15">
      <c r="A219" s="19" t="s">
        <v>1966</v>
      </c>
      <c r="B219" s="19" t="s">
        <v>1967</v>
      </c>
    </row>
    <row r="220" spans="1:2" x14ac:dyDescent="0.15">
      <c r="A220" s="18" t="s">
        <v>1968</v>
      </c>
      <c r="B220" s="18" t="s">
        <v>1969</v>
      </c>
    </row>
    <row r="221" spans="1:2" x14ac:dyDescent="0.15">
      <c r="A221" s="19" t="s">
        <v>1970</v>
      </c>
      <c r="B221" s="19" t="s">
        <v>1971</v>
      </c>
    </row>
    <row r="222" spans="1:2" x14ac:dyDescent="0.15">
      <c r="A222" s="18" t="s">
        <v>1972</v>
      </c>
      <c r="B222" s="18" t="s">
        <v>1973</v>
      </c>
    </row>
    <row r="223" spans="1:2" x14ac:dyDescent="0.15">
      <c r="A223" s="19" t="s">
        <v>1974</v>
      </c>
      <c r="B223" s="19" t="s">
        <v>1975</v>
      </c>
    </row>
    <row r="224" spans="1:2" x14ac:dyDescent="0.15">
      <c r="A224" s="18" t="s">
        <v>1976</v>
      </c>
      <c r="B224" s="18" t="s">
        <v>1977</v>
      </c>
    </row>
    <row r="225" spans="1:2" x14ac:dyDescent="0.15">
      <c r="A225" s="19" t="s">
        <v>1978</v>
      </c>
      <c r="B225" s="19" t="s">
        <v>1979</v>
      </c>
    </row>
    <row r="226" spans="1:2" x14ac:dyDescent="0.15">
      <c r="A226" s="18" t="s">
        <v>1980</v>
      </c>
      <c r="B226" s="18" t="s">
        <v>1981</v>
      </c>
    </row>
    <row r="227" spans="1:2" x14ac:dyDescent="0.15">
      <c r="A227" s="19" t="s">
        <v>1982</v>
      </c>
      <c r="B227" s="19" t="s">
        <v>1983</v>
      </c>
    </row>
    <row r="228" spans="1:2" x14ac:dyDescent="0.15">
      <c r="A228" s="18" t="s">
        <v>1984</v>
      </c>
      <c r="B228" s="18" t="s">
        <v>1985</v>
      </c>
    </row>
    <row r="229" spans="1:2" x14ac:dyDescent="0.15">
      <c r="A229" s="19" t="s">
        <v>1986</v>
      </c>
      <c r="B229" s="19" t="s">
        <v>1987</v>
      </c>
    </row>
    <row r="230" spans="1:2" x14ac:dyDescent="0.15">
      <c r="A230" s="18" t="s">
        <v>1988</v>
      </c>
      <c r="B230" s="18" t="s">
        <v>1989</v>
      </c>
    </row>
    <row r="231" spans="1:2" x14ac:dyDescent="0.15">
      <c r="A231" s="19" t="s">
        <v>1990</v>
      </c>
      <c r="B231" s="19" t="s">
        <v>1991</v>
      </c>
    </row>
    <row r="232" spans="1:2" x14ac:dyDescent="0.15">
      <c r="A232" s="18" t="s">
        <v>1992</v>
      </c>
      <c r="B232" s="18" t="s">
        <v>1993</v>
      </c>
    </row>
    <row r="233" spans="1:2" x14ac:dyDescent="0.15">
      <c r="A233" s="19" t="s">
        <v>1994</v>
      </c>
      <c r="B233" s="19" t="s">
        <v>1995</v>
      </c>
    </row>
    <row r="234" spans="1:2" x14ac:dyDescent="0.15">
      <c r="A234" s="18" t="s">
        <v>1996</v>
      </c>
      <c r="B234" s="18" t="s">
        <v>1997</v>
      </c>
    </row>
    <row r="235" spans="1:2" x14ac:dyDescent="0.15">
      <c r="A235" s="19" t="s">
        <v>1998</v>
      </c>
      <c r="B235" s="19" t="s">
        <v>1999</v>
      </c>
    </row>
    <row r="236" spans="1:2" x14ac:dyDescent="0.15">
      <c r="A236" s="18" t="s">
        <v>2000</v>
      </c>
      <c r="B236" s="18" t="s">
        <v>2001</v>
      </c>
    </row>
    <row r="237" spans="1:2" x14ac:dyDescent="0.15">
      <c r="A237" s="19" t="s">
        <v>2002</v>
      </c>
      <c r="B237" s="19" t="s">
        <v>2003</v>
      </c>
    </row>
    <row r="238" spans="1:2" x14ac:dyDescent="0.15">
      <c r="A238" s="18" t="s">
        <v>2004</v>
      </c>
      <c r="B238" s="18" t="s">
        <v>2005</v>
      </c>
    </row>
    <row r="239" spans="1:2" x14ac:dyDescent="0.15">
      <c r="A239" s="19" t="s">
        <v>2006</v>
      </c>
      <c r="B239" s="19" t="s">
        <v>2007</v>
      </c>
    </row>
    <row r="240" spans="1:2" x14ac:dyDescent="0.15">
      <c r="A240" s="18" t="s">
        <v>2008</v>
      </c>
      <c r="B240" s="18" t="s">
        <v>2009</v>
      </c>
    </row>
    <row r="241" spans="1:2" x14ac:dyDescent="0.15">
      <c r="A241" s="19" t="s">
        <v>2010</v>
      </c>
      <c r="B241" s="19" t="s">
        <v>2011</v>
      </c>
    </row>
    <row r="242" spans="1:2" x14ac:dyDescent="0.15">
      <c r="A242" s="18" t="s">
        <v>2012</v>
      </c>
      <c r="B242" s="18" t="s">
        <v>2013</v>
      </c>
    </row>
    <row r="243" spans="1:2" x14ac:dyDescent="0.15">
      <c r="A243" s="19" t="s">
        <v>2014</v>
      </c>
      <c r="B243" s="19" t="s">
        <v>2015</v>
      </c>
    </row>
    <row r="244" spans="1:2" x14ac:dyDescent="0.15">
      <c r="A244" s="18" t="s">
        <v>2016</v>
      </c>
      <c r="B244" s="18" t="s">
        <v>2017</v>
      </c>
    </row>
    <row r="245" spans="1:2" x14ac:dyDescent="0.15">
      <c r="A245" s="19" t="s">
        <v>2018</v>
      </c>
      <c r="B245" s="19" t="s">
        <v>2019</v>
      </c>
    </row>
    <row r="246" spans="1:2" x14ac:dyDescent="0.15">
      <c r="A246" s="18" t="s">
        <v>2020</v>
      </c>
      <c r="B246" s="18" t="s">
        <v>2021</v>
      </c>
    </row>
    <row r="247" spans="1:2" x14ac:dyDescent="0.15">
      <c r="A247" s="19" t="s">
        <v>2022</v>
      </c>
      <c r="B247" s="19" t="s">
        <v>2023</v>
      </c>
    </row>
    <row r="248" spans="1:2" x14ac:dyDescent="0.15">
      <c r="A248" s="18" t="s">
        <v>2024</v>
      </c>
      <c r="B248" s="18" t="s">
        <v>2025</v>
      </c>
    </row>
    <row r="249" spans="1:2" x14ac:dyDescent="0.15">
      <c r="A249" s="19" t="s">
        <v>2026</v>
      </c>
      <c r="B249" s="19" t="s">
        <v>2027</v>
      </c>
    </row>
    <row r="250" spans="1:2" x14ac:dyDescent="0.15">
      <c r="A250" s="18" t="s">
        <v>2028</v>
      </c>
      <c r="B250" s="18" t="s">
        <v>2029</v>
      </c>
    </row>
    <row r="251" spans="1:2" x14ac:dyDescent="0.15">
      <c r="A251" s="19" t="s">
        <v>2030</v>
      </c>
      <c r="B251" s="19" t="s">
        <v>2031</v>
      </c>
    </row>
    <row r="252" spans="1:2" x14ac:dyDescent="0.15">
      <c r="A252" s="18" t="s">
        <v>2032</v>
      </c>
      <c r="B252" s="18" t="s">
        <v>2033</v>
      </c>
    </row>
    <row r="253" spans="1:2" x14ac:dyDescent="0.15">
      <c r="A253" s="19" t="s">
        <v>2034</v>
      </c>
      <c r="B253" s="19" t="s">
        <v>2035</v>
      </c>
    </row>
    <row r="254" spans="1:2" x14ac:dyDescent="0.15">
      <c r="A254" s="18" t="s">
        <v>2036</v>
      </c>
      <c r="B254" s="18" t="s">
        <v>2037</v>
      </c>
    </row>
    <row r="255" spans="1:2" x14ac:dyDescent="0.15">
      <c r="A255" s="19" t="s">
        <v>2038</v>
      </c>
      <c r="B255" s="19" t="s">
        <v>2039</v>
      </c>
    </row>
    <row r="256" spans="1:2" x14ac:dyDescent="0.15">
      <c r="A256" s="18" t="s">
        <v>2040</v>
      </c>
      <c r="B256" s="18" t="s">
        <v>2041</v>
      </c>
    </row>
    <row r="257" spans="1:2" x14ac:dyDescent="0.15">
      <c r="A257" s="19" t="s">
        <v>2042</v>
      </c>
      <c r="B257" s="19" t="s">
        <v>2043</v>
      </c>
    </row>
    <row r="258" spans="1:2" x14ac:dyDescent="0.15">
      <c r="A258" s="18" t="s">
        <v>2044</v>
      </c>
      <c r="B258" s="18" t="s">
        <v>2045</v>
      </c>
    </row>
    <row r="259" spans="1:2" x14ac:dyDescent="0.15">
      <c r="A259" s="19" t="s">
        <v>2046</v>
      </c>
      <c r="B259" s="19" t="s">
        <v>2047</v>
      </c>
    </row>
    <row r="260" spans="1:2" x14ac:dyDescent="0.15">
      <c r="A260" s="18" t="s">
        <v>2048</v>
      </c>
      <c r="B260" s="18" t="s">
        <v>2049</v>
      </c>
    </row>
    <row r="261" spans="1:2" x14ac:dyDescent="0.15">
      <c r="A261" s="19" t="s">
        <v>2050</v>
      </c>
      <c r="B261" s="19" t="s">
        <v>2051</v>
      </c>
    </row>
    <row r="262" spans="1:2" x14ac:dyDescent="0.15">
      <c r="A262" s="18" t="s">
        <v>2052</v>
      </c>
      <c r="B262" s="18" t="s">
        <v>2053</v>
      </c>
    </row>
    <row r="263" spans="1:2" x14ac:dyDescent="0.15">
      <c r="A263" s="19" t="s">
        <v>2054</v>
      </c>
      <c r="B263" s="19" t="s">
        <v>2055</v>
      </c>
    </row>
    <row r="264" spans="1:2" x14ac:dyDescent="0.15">
      <c r="A264" s="18" t="s">
        <v>2056</v>
      </c>
      <c r="B264" s="18" t="s">
        <v>2057</v>
      </c>
    </row>
    <row r="265" spans="1:2" x14ac:dyDescent="0.15">
      <c r="A265" s="19" t="s">
        <v>2058</v>
      </c>
      <c r="B265" s="19" t="s">
        <v>2059</v>
      </c>
    </row>
    <row r="266" spans="1:2" x14ac:dyDescent="0.15">
      <c r="A266" s="18" t="s">
        <v>2060</v>
      </c>
      <c r="B266" s="18" t="s">
        <v>2061</v>
      </c>
    </row>
    <row r="267" spans="1:2" x14ac:dyDescent="0.15">
      <c r="A267" s="19" t="s">
        <v>2062</v>
      </c>
      <c r="B267" s="19" t="s">
        <v>2063</v>
      </c>
    </row>
    <row r="268" spans="1:2" x14ac:dyDescent="0.15">
      <c r="A268" s="18" t="s">
        <v>2064</v>
      </c>
      <c r="B268" s="18" t="s">
        <v>2065</v>
      </c>
    </row>
    <row r="269" spans="1:2" x14ac:dyDescent="0.15">
      <c r="A269" s="19" t="s">
        <v>2062</v>
      </c>
      <c r="B269" s="19" t="s">
        <v>2066</v>
      </c>
    </row>
    <row r="270" spans="1:2" x14ac:dyDescent="0.15">
      <c r="A270" s="18" t="s">
        <v>2067</v>
      </c>
      <c r="B270" s="18" t="s">
        <v>2068</v>
      </c>
    </row>
    <row r="271" spans="1:2" x14ac:dyDescent="0.15">
      <c r="A271" s="19" t="s">
        <v>2069</v>
      </c>
      <c r="B271" s="19" t="s">
        <v>2070</v>
      </c>
    </row>
    <row r="272" spans="1:2" x14ac:dyDescent="0.15">
      <c r="A272" s="18" t="s">
        <v>2071</v>
      </c>
      <c r="B272" s="18" t="s">
        <v>2072</v>
      </c>
    </row>
    <row r="273" spans="1:2" x14ac:dyDescent="0.15">
      <c r="A273" s="19" t="s">
        <v>2073</v>
      </c>
      <c r="B273" s="19" t="s">
        <v>2074</v>
      </c>
    </row>
    <row r="274" spans="1:2" x14ac:dyDescent="0.15">
      <c r="A274" s="18" t="s">
        <v>2075</v>
      </c>
      <c r="B274" s="18" t="s">
        <v>2076</v>
      </c>
    </row>
    <row r="275" spans="1:2" x14ac:dyDescent="0.15">
      <c r="A275" s="19" t="s">
        <v>2077</v>
      </c>
      <c r="B275" s="19" t="s">
        <v>2078</v>
      </c>
    </row>
    <row r="276" spans="1:2" x14ac:dyDescent="0.15">
      <c r="A276" s="18" t="s">
        <v>2079</v>
      </c>
      <c r="B276" s="18" t="s">
        <v>2080</v>
      </c>
    </row>
    <row r="277" spans="1:2" x14ac:dyDescent="0.15">
      <c r="A277" s="19" t="s">
        <v>2081</v>
      </c>
      <c r="B277" s="19" t="s">
        <v>2082</v>
      </c>
    </row>
    <row r="278" spans="1:2" x14ac:dyDescent="0.15">
      <c r="A278" s="18" t="s">
        <v>2083</v>
      </c>
      <c r="B278" s="18" t="s">
        <v>2084</v>
      </c>
    </row>
    <row r="279" spans="1:2" x14ac:dyDescent="0.15">
      <c r="A279" s="19" t="s">
        <v>2085</v>
      </c>
      <c r="B279" s="19" t="s">
        <v>2086</v>
      </c>
    </row>
    <row r="280" spans="1:2" x14ac:dyDescent="0.15">
      <c r="A280" s="18" t="s">
        <v>2087</v>
      </c>
      <c r="B280" s="18" t="s">
        <v>2088</v>
      </c>
    </row>
    <row r="281" spans="1:2" x14ac:dyDescent="0.15">
      <c r="A281" s="19" t="s">
        <v>2089</v>
      </c>
      <c r="B281" s="19" t="s">
        <v>2090</v>
      </c>
    </row>
    <row r="282" spans="1:2" x14ac:dyDescent="0.15">
      <c r="A282" s="18" t="s">
        <v>2091</v>
      </c>
      <c r="B282" s="18" t="s">
        <v>2092</v>
      </c>
    </row>
    <row r="283" spans="1:2" x14ac:dyDescent="0.15">
      <c r="A283" s="19" t="s">
        <v>2093</v>
      </c>
      <c r="B283" s="19" t="s">
        <v>2094</v>
      </c>
    </row>
    <row r="284" spans="1:2" x14ac:dyDescent="0.15">
      <c r="A284" s="18" t="s">
        <v>2095</v>
      </c>
      <c r="B284" s="18" t="s">
        <v>2096</v>
      </c>
    </row>
    <row r="285" spans="1:2" x14ac:dyDescent="0.15">
      <c r="A285" s="19" t="s">
        <v>2081</v>
      </c>
      <c r="B285" s="19" t="s">
        <v>2097</v>
      </c>
    </row>
    <row r="286" spans="1:2" x14ac:dyDescent="0.15">
      <c r="A286" s="18" t="s">
        <v>2098</v>
      </c>
      <c r="B286" s="18" t="s">
        <v>2099</v>
      </c>
    </row>
    <row r="287" spans="1:2" x14ac:dyDescent="0.15">
      <c r="A287" s="19" t="s">
        <v>2100</v>
      </c>
      <c r="B287" s="19" t="s">
        <v>2101</v>
      </c>
    </row>
    <row r="288" spans="1:2" x14ac:dyDescent="0.15">
      <c r="A288" s="18" t="s">
        <v>2102</v>
      </c>
      <c r="B288" s="18" t="s">
        <v>2103</v>
      </c>
    </row>
    <row r="289" spans="1:2" x14ac:dyDescent="0.15">
      <c r="A289" s="19" t="s">
        <v>2104</v>
      </c>
      <c r="B289" s="19" t="s">
        <v>2105</v>
      </c>
    </row>
    <row r="290" spans="1:2" x14ac:dyDescent="0.15">
      <c r="A290" s="18" t="s">
        <v>2106</v>
      </c>
      <c r="B290" s="18" t="s">
        <v>2107</v>
      </c>
    </row>
    <row r="291" spans="1:2" x14ac:dyDescent="0.15">
      <c r="A291" s="19" t="s">
        <v>2108</v>
      </c>
      <c r="B291" s="19" t="s">
        <v>2109</v>
      </c>
    </row>
    <row r="292" spans="1:2" x14ac:dyDescent="0.15">
      <c r="A292" s="18" t="s">
        <v>2110</v>
      </c>
      <c r="B292" s="18" t="s">
        <v>2111</v>
      </c>
    </row>
    <row r="293" spans="1:2" x14ac:dyDescent="0.15">
      <c r="A293" s="19" t="s">
        <v>2112</v>
      </c>
      <c r="B293" s="19" t="s">
        <v>2113</v>
      </c>
    </row>
    <row r="294" spans="1:2" x14ac:dyDescent="0.15">
      <c r="A294" s="18" t="s">
        <v>2114</v>
      </c>
      <c r="B294" s="18" t="s">
        <v>2115</v>
      </c>
    </row>
    <row r="295" spans="1:2" x14ac:dyDescent="0.15">
      <c r="A295" s="19" t="s">
        <v>2116</v>
      </c>
      <c r="B295" s="19" t="s">
        <v>2117</v>
      </c>
    </row>
    <row r="296" spans="1:2" x14ac:dyDescent="0.15">
      <c r="A296" s="18" t="s">
        <v>2118</v>
      </c>
      <c r="B296" s="18" t="s">
        <v>2119</v>
      </c>
    </row>
    <row r="297" spans="1:2" x14ac:dyDescent="0.15">
      <c r="A297" s="19" t="s">
        <v>2120</v>
      </c>
      <c r="B297" s="19" t="s">
        <v>2121</v>
      </c>
    </row>
    <row r="298" spans="1:2" x14ac:dyDescent="0.15">
      <c r="A298" s="18" t="s">
        <v>2122</v>
      </c>
      <c r="B298" s="18" t="s">
        <v>2123</v>
      </c>
    </row>
    <row r="299" spans="1:2" x14ac:dyDescent="0.15">
      <c r="A299" s="19" t="s">
        <v>2124</v>
      </c>
      <c r="B299" s="19" t="s">
        <v>2125</v>
      </c>
    </row>
    <row r="300" spans="1:2" x14ac:dyDescent="0.15">
      <c r="A300" s="18" t="s">
        <v>2126</v>
      </c>
      <c r="B300" s="18" t="s">
        <v>2127</v>
      </c>
    </row>
    <row r="301" spans="1:2" x14ac:dyDescent="0.15">
      <c r="A301" s="19" t="s">
        <v>2128</v>
      </c>
      <c r="B301" s="19" t="s">
        <v>2129</v>
      </c>
    </row>
    <row r="302" spans="1:2" x14ac:dyDescent="0.15">
      <c r="A302" s="18" t="s">
        <v>2130</v>
      </c>
      <c r="B302" s="18" t="s">
        <v>2131</v>
      </c>
    </row>
    <row r="303" spans="1:2" x14ac:dyDescent="0.15">
      <c r="A303" s="19" t="s">
        <v>2132</v>
      </c>
      <c r="B303" s="19" t="s">
        <v>2133</v>
      </c>
    </row>
    <row r="304" spans="1:2" x14ac:dyDescent="0.15">
      <c r="A304" s="18" t="s">
        <v>2134</v>
      </c>
      <c r="B304" s="18" t="s">
        <v>2135</v>
      </c>
    </row>
    <row r="305" spans="1:2" x14ac:dyDescent="0.15">
      <c r="A305" s="19" t="s">
        <v>2136</v>
      </c>
      <c r="B305" s="19" t="s">
        <v>2137</v>
      </c>
    </row>
    <row r="306" spans="1:2" x14ac:dyDescent="0.15">
      <c r="A306" s="18" t="s">
        <v>2138</v>
      </c>
      <c r="B306" s="18" t="s">
        <v>2139</v>
      </c>
    </row>
    <row r="307" spans="1:2" x14ac:dyDescent="0.15">
      <c r="A307" s="19" t="s">
        <v>2136</v>
      </c>
      <c r="B307" s="19" t="s">
        <v>2140</v>
      </c>
    </row>
    <row r="308" spans="1:2" x14ac:dyDescent="0.15">
      <c r="A308" s="18" t="s">
        <v>2141</v>
      </c>
      <c r="B308" s="18" t="s">
        <v>2142</v>
      </c>
    </row>
    <row r="309" spans="1:2" x14ac:dyDescent="0.15">
      <c r="A309" s="19" t="s">
        <v>2143</v>
      </c>
      <c r="B309" s="19" t="s">
        <v>2144</v>
      </c>
    </row>
    <row r="310" spans="1:2" x14ac:dyDescent="0.15">
      <c r="A310" s="18" t="s">
        <v>2145</v>
      </c>
      <c r="B310" s="18" t="s">
        <v>2146</v>
      </c>
    </row>
    <row r="311" spans="1:2" x14ac:dyDescent="0.15">
      <c r="A311" s="19" t="s">
        <v>2147</v>
      </c>
      <c r="B311" s="19" t="s">
        <v>2148</v>
      </c>
    </row>
    <row r="312" spans="1:2" x14ac:dyDescent="0.15">
      <c r="A312" s="18" t="s">
        <v>2149</v>
      </c>
      <c r="B312" s="18" t="s">
        <v>2150</v>
      </c>
    </row>
    <row r="313" spans="1:2" x14ac:dyDescent="0.15">
      <c r="A313" s="19" t="s">
        <v>2151</v>
      </c>
      <c r="B313" s="19" t="s">
        <v>2152</v>
      </c>
    </row>
    <row r="314" spans="1:2" x14ac:dyDescent="0.15">
      <c r="A314" s="18" t="s">
        <v>2153</v>
      </c>
      <c r="B314" s="18" t="s">
        <v>2154</v>
      </c>
    </row>
    <row r="315" spans="1:2" x14ac:dyDescent="0.15">
      <c r="A315" s="19" t="s">
        <v>2155</v>
      </c>
      <c r="B315" s="19" t="s">
        <v>2156</v>
      </c>
    </row>
    <row r="316" spans="1:2" x14ac:dyDescent="0.15">
      <c r="A316" s="18" t="s">
        <v>2157</v>
      </c>
      <c r="B316" s="18" t="s">
        <v>2158</v>
      </c>
    </row>
    <row r="317" spans="1:2" x14ac:dyDescent="0.15">
      <c r="A317" s="19" t="s">
        <v>2159</v>
      </c>
      <c r="B317" s="19" t="s">
        <v>2160</v>
      </c>
    </row>
    <row r="318" spans="1:2" x14ac:dyDescent="0.15">
      <c r="A318" s="18" t="s">
        <v>2161</v>
      </c>
      <c r="B318" s="18" t="s">
        <v>2162</v>
      </c>
    </row>
    <row r="319" spans="1:2" x14ac:dyDescent="0.15">
      <c r="A319" s="19" t="s">
        <v>2163</v>
      </c>
      <c r="B319" s="19" t="s">
        <v>2164</v>
      </c>
    </row>
    <row r="320" spans="1:2" x14ac:dyDescent="0.15">
      <c r="A320" s="18" t="s">
        <v>2165</v>
      </c>
      <c r="B320" s="18" t="s">
        <v>2166</v>
      </c>
    </row>
    <row r="321" spans="1:2" x14ac:dyDescent="0.15">
      <c r="A321" s="19" t="s">
        <v>2167</v>
      </c>
      <c r="B321" s="19" t="s">
        <v>2168</v>
      </c>
    </row>
    <row r="322" spans="1:2" x14ac:dyDescent="0.15">
      <c r="A322" s="18" t="s">
        <v>2169</v>
      </c>
      <c r="B322" s="18" t="s">
        <v>2170</v>
      </c>
    </row>
    <row r="323" spans="1:2" x14ac:dyDescent="0.15">
      <c r="A323" s="19" t="s">
        <v>2171</v>
      </c>
      <c r="B323" s="19" t="s">
        <v>2172</v>
      </c>
    </row>
    <row r="324" spans="1:2" x14ac:dyDescent="0.15">
      <c r="A324" s="18" t="s">
        <v>2173</v>
      </c>
      <c r="B324" s="18" t="s">
        <v>2174</v>
      </c>
    </row>
    <row r="325" spans="1:2" x14ac:dyDescent="0.15">
      <c r="A325" s="19" t="s">
        <v>2175</v>
      </c>
      <c r="B325" s="19" t="s">
        <v>2176</v>
      </c>
    </row>
    <row r="326" spans="1:2" x14ac:dyDescent="0.15">
      <c r="A326" s="18" t="s">
        <v>2177</v>
      </c>
      <c r="B326" s="18" t="s">
        <v>2178</v>
      </c>
    </row>
    <row r="327" spans="1:2" x14ac:dyDescent="0.15">
      <c r="A327" s="19" t="s">
        <v>2179</v>
      </c>
      <c r="B327" s="19" t="s">
        <v>2180</v>
      </c>
    </row>
    <row r="328" spans="1:2" x14ac:dyDescent="0.15">
      <c r="A328" s="18" t="s">
        <v>2181</v>
      </c>
      <c r="B328" s="18" t="s">
        <v>2182</v>
      </c>
    </row>
    <row r="329" spans="1:2" x14ac:dyDescent="0.15">
      <c r="A329" s="19" t="s">
        <v>2183</v>
      </c>
      <c r="B329" s="19" t="s">
        <v>2184</v>
      </c>
    </row>
    <row r="330" spans="1:2" x14ac:dyDescent="0.15">
      <c r="A330" s="18" t="s">
        <v>2185</v>
      </c>
      <c r="B330" s="18" t="s">
        <v>2186</v>
      </c>
    </row>
    <row r="331" spans="1:2" x14ac:dyDescent="0.15">
      <c r="A331" s="19" t="s">
        <v>2187</v>
      </c>
      <c r="B331" s="19" t="s">
        <v>2188</v>
      </c>
    </row>
    <row r="332" spans="1:2" x14ac:dyDescent="0.15">
      <c r="A332" s="18" t="s">
        <v>2189</v>
      </c>
      <c r="B332" s="18" t="s">
        <v>2190</v>
      </c>
    </row>
    <row r="333" spans="1:2" x14ac:dyDescent="0.15">
      <c r="A333" s="19" t="s">
        <v>2191</v>
      </c>
      <c r="B333" s="19" t="s">
        <v>2192</v>
      </c>
    </row>
    <row r="334" spans="1:2" x14ac:dyDescent="0.15">
      <c r="A334" s="18" t="s">
        <v>2193</v>
      </c>
      <c r="B334" s="18" t="s">
        <v>2194</v>
      </c>
    </row>
    <row r="335" spans="1:2" x14ac:dyDescent="0.15">
      <c r="A335" s="19" t="s">
        <v>2195</v>
      </c>
      <c r="B335" s="19" t="s">
        <v>2196</v>
      </c>
    </row>
    <row r="336" spans="1:2" x14ac:dyDescent="0.15">
      <c r="A336" s="18" t="s">
        <v>2197</v>
      </c>
      <c r="B336" s="18" t="s">
        <v>2198</v>
      </c>
    </row>
    <row r="337" spans="1:2" x14ac:dyDescent="0.15">
      <c r="A337" s="19" t="s">
        <v>2199</v>
      </c>
      <c r="B337" s="19" t="s">
        <v>2200</v>
      </c>
    </row>
    <row r="338" spans="1:2" x14ac:dyDescent="0.15">
      <c r="A338" s="18" t="s">
        <v>2201</v>
      </c>
      <c r="B338" s="18" t="s">
        <v>2202</v>
      </c>
    </row>
    <row r="339" spans="1:2" x14ac:dyDescent="0.15">
      <c r="A339" s="19" t="s">
        <v>2203</v>
      </c>
      <c r="B339" s="19" t="s">
        <v>2204</v>
      </c>
    </row>
    <row r="340" spans="1:2" x14ac:dyDescent="0.15">
      <c r="A340" s="18" t="s">
        <v>2205</v>
      </c>
      <c r="B340" s="18" t="s">
        <v>2206</v>
      </c>
    </row>
    <row r="341" spans="1:2" x14ac:dyDescent="0.15">
      <c r="A341" s="19" t="s">
        <v>2207</v>
      </c>
      <c r="B341" s="19" t="s">
        <v>2208</v>
      </c>
    </row>
    <row r="342" spans="1:2" x14ac:dyDescent="0.15">
      <c r="A342" s="18" t="s">
        <v>2209</v>
      </c>
      <c r="B342" s="18" t="s">
        <v>2210</v>
      </c>
    </row>
    <row r="343" spans="1:2" x14ac:dyDescent="0.15">
      <c r="A343" s="19" t="s">
        <v>2211</v>
      </c>
      <c r="B343" s="19" t="s">
        <v>2212</v>
      </c>
    </row>
    <row r="344" spans="1:2" x14ac:dyDescent="0.15">
      <c r="A344" s="18" t="s">
        <v>2213</v>
      </c>
      <c r="B344" s="18" t="s">
        <v>2214</v>
      </c>
    </row>
    <row r="345" spans="1:2" x14ac:dyDescent="0.15">
      <c r="A345" s="19" t="s">
        <v>2215</v>
      </c>
      <c r="B345" s="19" t="s">
        <v>2216</v>
      </c>
    </row>
    <row r="346" spans="1:2" x14ac:dyDescent="0.15">
      <c r="A346" s="18" t="s">
        <v>2217</v>
      </c>
      <c r="B346" s="18" t="s">
        <v>2218</v>
      </c>
    </row>
    <row r="347" spans="1:2" x14ac:dyDescent="0.15">
      <c r="A347" s="19" t="s">
        <v>2219</v>
      </c>
      <c r="B347" s="19" t="s">
        <v>2220</v>
      </c>
    </row>
    <row r="348" spans="1:2" x14ac:dyDescent="0.15">
      <c r="A348" s="18" t="s">
        <v>2221</v>
      </c>
      <c r="B348" s="18" t="s">
        <v>2222</v>
      </c>
    </row>
    <row r="349" spans="1:2" x14ac:dyDescent="0.15">
      <c r="A349" s="19" t="s">
        <v>2223</v>
      </c>
      <c r="B349" s="19" t="s">
        <v>2224</v>
      </c>
    </row>
    <row r="350" spans="1:2" x14ac:dyDescent="0.15">
      <c r="A350" s="18" t="s">
        <v>2225</v>
      </c>
      <c r="B350" s="18" t="s">
        <v>2226</v>
      </c>
    </row>
    <row r="351" spans="1:2" x14ac:dyDescent="0.15">
      <c r="A351" s="19" t="s">
        <v>2227</v>
      </c>
      <c r="B351" s="19" t="s">
        <v>2228</v>
      </c>
    </row>
    <row r="352" spans="1:2" x14ac:dyDescent="0.15">
      <c r="A352" s="18" t="s">
        <v>2229</v>
      </c>
      <c r="B352" s="18" t="s">
        <v>2230</v>
      </c>
    </row>
    <row r="353" spans="1:2" x14ac:dyDescent="0.15">
      <c r="A353" s="19" t="s">
        <v>2231</v>
      </c>
      <c r="B353" s="19" t="s">
        <v>2232</v>
      </c>
    </row>
    <row r="354" spans="1:2" x14ac:dyDescent="0.15">
      <c r="A354" s="18" t="s">
        <v>2233</v>
      </c>
      <c r="B354" s="18" t="s">
        <v>2234</v>
      </c>
    </row>
    <row r="355" spans="1:2" x14ac:dyDescent="0.15">
      <c r="A355" s="19" t="s">
        <v>2235</v>
      </c>
      <c r="B355" s="19" t="s">
        <v>2236</v>
      </c>
    </row>
    <row r="356" spans="1:2" x14ac:dyDescent="0.15">
      <c r="A356" s="18" t="s">
        <v>2237</v>
      </c>
      <c r="B356" s="18" t="s">
        <v>2238</v>
      </c>
    </row>
    <row r="357" spans="1:2" x14ac:dyDescent="0.15">
      <c r="A357" s="19" t="s">
        <v>2239</v>
      </c>
      <c r="B357" s="19" t="s">
        <v>2240</v>
      </c>
    </row>
    <row r="358" spans="1:2" x14ac:dyDescent="0.15">
      <c r="A358" s="18" t="s">
        <v>2241</v>
      </c>
      <c r="B358" s="18" t="s">
        <v>2242</v>
      </c>
    </row>
    <row r="359" spans="1:2" x14ac:dyDescent="0.15">
      <c r="A359" s="19" t="s">
        <v>2243</v>
      </c>
      <c r="B359" s="19" t="s">
        <v>2244</v>
      </c>
    </row>
    <row r="360" spans="1:2" x14ac:dyDescent="0.15">
      <c r="A360" s="18" t="s">
        <v>2245</v>
      </c>
      <c r="B360" s="18" t="s">
        <v>2246</v>
      </c>
    </row>
    <row r="361" spans="1:2" x14ac:dyDescent="0.15">
      <c r="A361" s="19" t="s">
        <v>2247</v>
      </c>
      <c r="B361" s="19" t="s">
        <v>2248</v>
      </c>
    </row>
    <row r="362" spans="1:2" x14ac:dyDescent="0.15">
      <c r="A362" s="18" t="s">
        <v>2249</v>
      </c>
      <c r="B362" s="18" t="s">
        <v>2250</v>
      </c>
    </row>
    <row r="363" spans="1:2" x14ac:dyDescent="0.15">
      <c r="A363" s="19" t="s">
        <v>2251</v>
      </c>
      <c r="B363" s="19" t="s">
        <v>2252</v>
      </c>
    </row>
    <row r="364" spans="1:2" x14ac:dyDescent="0.15">
      <c r="A364" s="18" t="s">
        <v>2253</v>
      </c>
      <c r="B364" s="18" t="s">
        <v>2254</v>
      </c>
    </row>
    <row r="365" spans="1:2" x14ac:dyDescent="0.15">
      <c r="A365" s="19" t="s">
        <v>2255</v>
      </c>
      <c r="B365" s="19" t="s">
        <v>2256</v>
      </c>
    </row>
    <row r="366" spans="1:2" x14ac:dyDescent="0.15">
      <c r="A366" s="18" t="s">
        <v>2257</v>
      </c>
      <c r="B366" s="18" t="s">
        <v>2258</v>
      </c>
    </row>
    <row r="367" spans="1:2" x14ac:dyDescent="0.15">
      <c r="A367" s="19" t="s">
        <v>2259</v>
      </c>
      <c r="B367" s="19" t="s">
        <v>2260</v>
      </c>
    </row>
    <row r="368" spans="1:2" x14ac:dyDescent="0.15">
      <c r="A368" s="18" t="s">
        <v>2261</v>
      </c>
      <c r="B368" s="18" t="s">
        <v>2262</v>
      </c>
    </row>
    <row r="369" spans="1:2" x14ac:dyDescent="0.15">
      <c r="A369" s="19" t="s">
        <v>2263</v>
      </c>
      <c r="B369" s="19" t="s">
        <v>2264</v>
      </c>
    </row>
    <row r="370" spans="1:2" x14ac:dyDescent="0.15">
      <c r="A370" s="18" t="s">
        <v>2265</v>
      </c>
      <c r="B370" s="18" t="s">
        <v>2266</v>
      </c>
    </row>
    <row r="371" spans="1:2" x14ac:dyDescent="0.15">
      <c r="A371" s="19" t="s">
        <v>2267</v>
      </c>
      <c r="B371" s="19" t="s">
        <v>2268</v>
      </c>
    </row>
    <row r="372" spans="1:2" x14ac:dyDescent="0.15">
      <c r="A372" s="18" t="s">
        <v>2269</v>
      </c>
      <c r="B372" s="18" t="s">
        <v>2270</v>
      </c>
    </row>
    <row r="373" spans="1:2" x14ac:dyDescent="0.15">
      <c r="A373" s="19" t="s">
        <v>2271</v>
      </c>
      <c r="B373" s="19" t="s">
        <v>2272</v>
      </c>
    </row>
    <row r="374" spans="1:2" x14ac:dyDescent="0.15">
      <c r="A374" s="18" t="s">
        <v>2273</v>
      </c>
      <c r="B374" s="18" t="s">
        <v>2274</v>
      </c>
    </row>
    <row r="375" spans="1:2" x14ac:dyDescent="0.15">
      <c r="A375" s="19" t="s">
        <v>2275</v>
      </c>
      <c r="B375" s="19" t="s">
        <v>2276</v>
      </c>
    </row>
    <row r="376" spans="1:2" x14ac:dyDescent="0.15">
      <c r="A376" s="18" t="s">
        <v>2277</v>
      </c>
      <c r="B376" s="18" t="s">
        <v>2278</v>
      </c>
    </row>
    <row r="377" spans="1:2" x14ac:dyDescent="0.15">
      <c r="A377" s="19" t="s">
        <v>2279</v>
      </c>
      <c r="B377" s="19" t="s">
        <v>2280</v>
      </c>
    </row>
    <row r="378" spans="1:2" x14ac:dyDescent="0.15">
      <c r="A378" s="18" t="s">
        <v>2281</v>
      </c>
      <c r="B378" s="18" t="s">
        <v>2282</v>
      </c>
    </row>
    <row r="379" spans="1:2" x14ac:dyDescent="0.15">
      <c r="A379" s="19" t="s">
        <v>2283</v>
      </c>
      <c r="B379" s="19" t="s">
        <v>2284</v>
      </c>
    </row>
    <row r="380" spans="1:2" x14ac:dyDescent="0.15">
      <c r="A380" s="18" t="s">
        <v>2285</v>
      </c>
      <c r="B380" s="18" t="s">
        <v>2286</v>
      </c>
    </row>
    <row r="381" spans="1:2" x14ac:dyDescent="0.15">
      <c r="A381" s="19" t="s">
        <v>2287</v>
      </c>
      <c r="B381" s="19" t="s">
        <v>2288</v>
      </c>
    </row>
    <row r="382" spans="1:2" x14ac:dyDescent="0.15">
      <c r="A382" s="18" t="s">
        <v>2289</v>
      </c>
      <c r="B382" s="18" t="s">
        <v>2290</v>
      </c>
    </row>
    <row r="383" spans="1:2" x14ac:dyDescent="0.15">
      <c r="A383" s="19" t="s">
        <v>2291</v>
      </c>
      <c r="B383" s="19" t="s">
        <v>2292</v>
      </c>
    </row>
    <row r="384" spans="1:2" x14ac:dyDescent="0.15">
      <c r="A384" s="18" t="s">
        <v>2293</v>
      </c>
      <c r="B384" s="18" t="s">
        <v>2294</v>
      </c>
    </row>
    <row r="385" spans="1:2" x14ac:dyDescent="0.15">
      <c r="A385" s="19" t="s">
        <v>2295</v>
      </c>
      <c r="B385" s="19" t="s">
        <v>2296</v>
      </c>
    </row>
    <row r="386" spans="1:2" x14ac:dyDescent="0.15">
      <c r="A386" s="18" t="s">
        <v>2297</v>
      </c>
      <c r="B386" s="18" t="s">
        <v>2298</v>
      </c>
    </row>
    <row r="387" spans="1:2" x14ac:dyDescent="0.15">
      <c r="A387" s="19" t="s">
        <v>2299</v>
      </c>
      <c r="B387" s="19" t="s">
        <v>2300</v>
      </c>
    </row>
    <row r="388" spans="1:2" x14ac:dyDescent="0.15">
      <c r="A388" s="18" t="s">
        <v>2301</v>
      </c>
      <c r="B388" s="18" t="s">
        <v>2302</v>
      </c>
    </row>
    <row r="389" spans="1:2" x14ac:dyDescent="0.15">
      <c r="A389" s="19" t="s">
        <v>2303</v>
      </c>
      <c r="B389" s="19" t="s">
        <v>2304</v>
      </c>
    </row>
    <row r="390" spans="1:2" x14ac:dyDescent="0.15">
      <c r="A390" s="18" t="s">
        <v>2305</v>
      </c>
      <c r="B390" s="18" t="s">
        <v>2306</v>
      </c>
    </row>
    <row r="391" spans="1:2" x14ac:dyDescent="0.15">
      <c r="A391" s="19" t="s">
        <v>2307</v>
      </c>
      <c r="B391" s="19" t="s">
        <v>2308</v>
      </c>
    </row>
    <row r="392" spans="1:2" x14ac:dyDescent="0.15">
      <c r="A392" s="18" t="s">
        <v>2309</v>
      </c>
      <c r="B392" s="18" t="s">
        <v>2310</v>
      </c>
    </row>
    <row r="393" spans="1:2" x14ac:dyDescent="0.15">
      <c r="A393" s="19" t="s">
        <v>2311</v>
      </c>
      <c r="B393" s="19" t="s">
        <v>2312</v>
      </c>
    </row>
    <row r="394" spans="1:2" x14ac:dyDescent="0.15">
      <c r="A394" s="18" t="s">
        <v>2313</v>
      </c>
      <c r="B394" s="18" t="s">
        <v>2314</v>
      </c>
    </row>
    <row r="395" spans="1:2" x14ac:dyDescent="0.15">
      <c r="A395" s="19" t="s">
        <v>2315</v>
      </c>
      <c r="B395" s="19" t="s">
        <v>2316</v>
      </c>
    </row>
    <row r="396" spans="1:2" x14ac:dyDescent="0.15">
      <c r="A396" s="18" t="s">
        <v>2317</v>
      </c>
      <c r="B396" s="18" t="s">
        <v>2318</v>
      </c>
    </row>
    <row r="397" spans="1:2" x14ac:dyDescent="0.15">
      <c r="A397" s="19" t="s">
        <v>2319</v>
      </c>
      <c r="B397" s="19" t="s">
        <v>2320</v>
      </c>
    </row>
    <row r="398" spans="1:2" x14ac:dyDescent="0.15">
      <c r="A398" s="18" t="s">
        <v>2321</v>
      </c>
      <c r="B398" s="18" t="s">
        <v>2322</v>
      </c>
    </row>
    <row r="399" spans="1:2" x14ac:dyDescent="0.15">
      <c r="A399" s="19" t="s">
        <v>2323</v>
      </c>
      <c r="B399" s="19" t="s">
        <v>2324</v>
      </c>
    </row>
    <row r="400" spans="1:2" x14ac:dyDescent="0.15">
      <c r="A400" s="18" t="s">
        <v>2325</v>
      </c>
      <c r="B400" s="18" t="s">
        <v>2326</v>
      </c>
    </row>
    <row r="401" spans="1:2" x14ac:dyDescent="0.15">
      <c r="A401" s="19" t="s">
        <v>2327</v>
      </c>
      <c r="B401" s="19" t="s">
        <v>2328</v>
      </c>
    </row>
    <row r="402" spans="1:2" x14ac:dyDescent="0.15">
      <c r="A402" s="18" t="s">
        <v>2329</v>
      </c>
      <c r="B402" s="18" t="s">
        <v>2330</v>
      </c>
    </row>
    <row r="403" spans="1:2" x14ac:dyDescent="0.15">
      <c r="A403" s="19" t="s">
        <v>2331</v>
      </c>
      <c r="B403" s="19" t="s">
        <v>2332</v>
      </c>
    </row>
    <row r="404" spans="1:2" x14ac:dyDescent="0.15">
      <c r="A404" s="18" t="s">
        <v>2333</v>
      </c>
      <c r="B404" s="18" t="s">
        <v>2334</v>
      </c>
    </row>
    <row r="405" spans="1:2" x14ac:dyDescent="0.15">
      <c r="A405" s="19" t="s">
        <v>2335</v>
      </c>
      <c r="B405" s="19" t="s">
        <v>2336</v>
      </c>
    </row>
    <row r="406" spans="1:2" x14ac:dyDescent="0.15">
      <c r="A406" s="18" t="s">
        <v>2337</v>
      </c>
      <c r="B406" s="18" t="s">
        <v>2338</v>
      </c>
    </row>
    <row r="407" spans="1:2" x14ac:dyDescent="0.15">
      <c r="A407" s="19" t="s">
        <v>2339</v>
      </c>
      <c r="B407" s="19" t="s">
        <v>2340</v>
      </c>
    </row>
    <row r="408" spans="1:2" x14ac:dyDescent="0.15">
      <c r="A408" s="18" t="s">
        <v>2341</v>
      </c>
      <c r="B408" s="18" t="s">
        <v>2342</v>
      </c>
    </row>
    <row r="409" spans="1:2" x14ac:dyDescent="0.15">
      <c r="A409" s="19" t="s">
        <v>2343</v>
      </c>
      <c r="B409" s="19" t="s">
        <v>2344</v>
      </c>
    </row>
    <row r="410" spans="1:2" x14ac:dyDescent="0.15">
      <c r="A410" s="18" t="s">
        <v>2345</v>
      </c>
      <c r="B410" s="18" t="s">
        <v>2346</v>
      </c>
    </row>
    <row r="411" spans="1:2" x14ac:dyDescent="0.15">
      <c r="A411" s="19" t="s">
        <v>2347</v>
      </c>
      <c r="B411" s="19" t="s">
        <v>2348</v>
      </c>
    </row>
    <row r="412" spans="1:2" x14ac:dyDescent="0.15">
      <c r="A412" s="18" t="s">
        <v>2349</v>
      </c>
      <c r="B412" s="18" t="s">
        <v>2350</v>
      </c>
    </row>
    <row r="413" spans="1:2" x14ac:dyDescent="0.15">
      <c r="A413" s="19" t="s">
        <v>2351</v>
      </c>
      <c r="B413" s="19" t="s">
        <v>2352</v>
      </c>
    </row>
    <row r="414" spans="1:2" x14ac:dyDescent="0.15">
      <c r="A414" s="18" t="s">
        <v>2353</v>
      </c>
      <c r="B414" s="18" t="s">
        <v>2354</v>
      </c>
    </row>
    <row r="415" spans="1:2" x14ac:dyDescent="0.15">
      <c r="A415" s="19" t="s">
        <v>2355</v>
      </c>
      <c r="B415" s="19" t="s">
        <v>2356</v>
      </c>
    </row>
    <row r="416" spans="1:2" x14ac:dyDescent="0.15">
      <c r="A416" s="18" t="s">
        <v>2357</v>
      </c>
      <c r="B416" s="18" t="s">
        <v>2358</v>
      </c>
    </row>
    <row r="417" spans="1:2" x14ac:dyDescent="0.15">
      <c r="A417" s="19" t="s">
        <v>2359</v>
      </c>
      <c r="B417" s="19" t="s">
        <v>2360</v>
      </c>
    </row>
    <row r="418" spans="1:2" x14ac:dyDescent="0.15">
      <c r="A418" s="18" t="s">
        <v>2361</v>
      </c>
      <c r="B418" s="18" t="s">
        <v>2362</v>
      </c>
    </row>
    <row r="419" spans="1:2" x14ac:dyDescent="0.15">
      <c r="A419" s="19" t="s">
        <v>2363</v>
      </c>
      <c r="B419" s="19" t="s">
        <v>2364</v>
      </c>
    </row>
    <row r="420" spans="1:2" x14ac:dyDescent="0.15">
      <c r="A420" s="18" t="s">
        <v>2365</v>
      </c>
      <c r="B420" s="18" t="s">
        <v>2366</v>
      </c>
    </row>
    <row r="421" spans="1:2" x14ac:dyDescent="0.15">
      <c r="A421" s="19" t="s">
        <v>2367</v>
      </c>
      <c r="B421" s="19" t="s">
        <v>2368</v>
      </c>
    </row>
    <row r="422" spans="1:2" x14ac:dyDescent="0.15">
      <c r="A422" s="18" t="s">
        <v>2369</v>
      </c>
      <c r="B422" s="18" t="s">
        <v>2370</v>
      </c>
    </row>
    <row r="423" spans="1:2" x14ac:dyDescent="0.15">
      <c r="A423" s="19" t="s">
        <v>2371</v>
      </c>
      <c r="B423" s="19" t="s">
        <v>2372</v>
      </c>
    </row>
    <row r="424" spans="1:2" x14ac:dyDescent="0.15">
      <c r="A424" s="18" t="s">
        <v>2373</v>
      </c>
      <c r="B424" s="18" t="s">
        <v>2374</v>
      </c>
    </row>
    <row r="425" spans="1:2" x14ac:dyDescent="0.15">
      <c r="A425" s="19" t="s">
        <v>2375</v>
      </c>
      <c r="B425" s="19" t="s">
        <v>2376</v>
      </c>
    </row>
    <row r="426" spans="1:2" x14ac:dyDescent="0.15">
      <c r="A426" s="18" t="s">
        <v>2377</v>
      </c>
      <c r="B426" s="18" t="s">
        <v>2378</v>
      </c>
    </row>
    <row r="427" spans="1:2" x14ac:dyDescent="0.15">
      <c r="A427" s="19" t="s">
        <v>2379</v>
      </c>
      <c r="B427" s="19" t="s">
        <v>2380</v>
      </c>
    </row>
    <row r="428" spans="1:2" x14ac:dyDescent="0.15">
      <c r="A428" s="18" t="s">
        <v>2381</v>
      </c>
      <c r="B428" s="18" t="s">
        <v>2382</v>
      </c>
    </row>
    <row r="429" spans="1:2" x14ac:dyDescent="0.15">
      <c r="A429" s="19" t="s">
        <v>2383</v>
      </c>
      <c r="B429" s="19" t="s">
        <v>2384</v>
      </c>
    </row>
    <row r="430" spans="1:2" x14ac:dyDescent="0.15">
      <c r="A430" s="18" t="s">
        <v>2385</v>
      </c>
      <c r="B430" s="18" t="s">
        <v>2386</v>
      </c>
    </row>
    <row r="431" spans="1:2" x14ac:dyDescent="0.15">
      <c r="A431" s="19" t="s">
        <v>2387</v>
      </c>
      <c r="B431" s="19" t="s">
        <v>2388</v>
      </c>
    </row>
    <row r="432" spans="1:2" x14ac:dyDescent="0.15">
      <c r="A432" s="18" t="s">
        <v>2389</v>
      </c>
      <c r="B432" s="18" t="s">
        <v>2390</v>
      </c>
    </row>
    <row r="433" spans="1:2" x14ac:dyDescent="0.15">
      <c r="A433" s="19" t="s">
        <v>2391</v>
      </c>
      <c r="B433" s="19" t="s">
        <v>2392</v>
      </c>
    </row>
    <row r="434" spans="1:2" x14ac:dyDescent="0.15">
      <c r="A434" s="18" t="s">
        <v>2393</v>
      </c>
      <c r="B434" s="18" t="s">
        <v>2394</v>
      </c>
    </row>
    <row r="435" spans="1:2" x14ac:dyDescent="0.15">
      <c r="A435" s="19" t="s">
        <v>2395</v>
      </c>
      <c r="B435" s="19" t="s">
        <v>2396</v>
      </c>
    </row>
    <row r="436" spans="1:2" x14ac:dyDescent="0.15">
      <c r="A436" s="18" t="s">
        <v>2397</v>
      </c>
      <c r="B436" s="18" t="s">
        <v>2398</v>
      </c>
    </row>
    <row r="437" spans="1:2" x14ac:dyDescent="0.15">
      <c r="A437" s="19" t="s">
        <v>2399</v>
      </c>
      <c r="B437" s="19" t="s">
        <v>2400</v>
      </c>
    </row>
    <row r="438" spans="1:2" x14ac:dyDescent="0.15">
      <c r="A438" s="18" t="s">
        <v>2401</v>
      </c>
      <c r="B438" s="18" t="s">
        <v>2402</v>
      </c>
    </row>
    <row r="439" spans="1:2" x14ac:dyDescent="0.15">
      <c r="A439" s="19" t="s">
        <v>2403</v>
      </c>
      <c r="B439" s="19" t="s">
        <v>2404</v>
      </c>
    </row>
    <row r="440" spans="1:2" x14ac:dyDescent="0.15">
      <c r="A440" s="18" t="s">
        <v>2405</v>
      </c>
      <c r="B440" s="18" t="s">
        <v>2406</v>
      </c>
    </row>
    <row r="441" spans="1:2" x14ac:dyDescent="0.15">
      <c r="A441" s="19" t="s">
        <v>2407</v>
      </c>
      <c r="B441" s="19" t="s">
        <v>2408</v>
      </c>
    </row>
    <row r="442" spans="1:2" x14ac:dyDescent="0.15">
      <c r="A442" s="18" t="s">
        <v>2409</v>
      </c>
      <c r="B442" s="18" t="s">
        <v>2410</v>
      </c>
    </row>
    <row r="443" spans="1:2" x14ac:dyDescent="0.15">
      <c r="A443" s="19" t="s">
        <v>2411</v>
      </c>
      <c r="B443" s="19" t="s">
        <v>2412</v>
      </c>
    </row>
    <row r="444" spans="1:2" x14ac:dyDescent="0.15">
      <c r="A444" s="18" t="s">
        <v>2413</v>
      </c>
      <c r="B444" s="18" t="s">
        <v>2414</v>
      </c>
    </row>
    <row r="445" spans="1:2" x14ac:dyDescent="0.15">
      <c r="A445" s="19" t="s">
        <v>2415</v>
      </c>
      <c r="B445" s="19" t="s">
        <v>2416</v>
      </c>
    </row>
    <row r="446" spans="1:2" x14ac:dyDescent="0.15">
      <c r="A446" s="18" t="s">
        <v>2417</v>
      </c>
      <c r="B446" s="18" t="s">
        <v>2418</v>
      </c>
    </row>
    <row r="447" spans="1:2" x14ac:dyDescent="0.15">
      <c r="A447" s="19" t="s">
        <v>2419</v>
      </c>
      <c r="B447" s="19" t="s">
        <v>2420</v>
      </c>
    </row>
    <row r="448" spans="1:2" x14ac:dyDescent="0.15">
      <c r="A448" s="18" t="s">
        <v>2421</v>
      </c>
      <c r="B448" s="18" t="s">
        <v>2422</v>
      </c>
    </row>
    <row r="449" spans="1:2" x14ac:dyDescent="0.15">
      <c r="A449" s="19" t="s">
        <v>2423</v>
      </c>
      <c r="B449" s="19" t="s">
        <v>2424</v>
      </c>
    </row>
    <row r="450" spans="1:2" x14ac:dyDescent="0.15">
      <c r="A450" s="18" t="s">
        <v>2425</v>
      </c>
      <c r="B450" s="18" t="s">
        <v>2426</v>
      </c>
    </row>
    <row r="451" spans="1:2" x14ac:dyDescent="0.15">
      <c r="A451" s="19" t="s">
        <v>2427</v>
      </c>
      <c r="B451" s="19" t="s">
        <v>2428</v>
      </c>
    </row>
    <row r="452" spans="1:2" x14ac:dyDescent="0.15">
      <c r="A452" s="18" t="s">
        <v>2429</v>
      </c>
      <c r="B452" s="18" t="s">
        <v>2430</v>
      </c>
    </row>
    <row r="453" spans="1:2" x14ac:dyDescent="0.15">
      <c r="A453" s="19" t="s">
        <v>2431</v>
      </c>
      <c r="B453" s="19" t="s">
        <v>2432</v>
      </c>
    </row>
    <row r="454" spans="1:2" x14ac:dyDescent="0.15">
      <c r="A454" s="18" t="s">
        <v>2433</v>
      </c>
      <c r="B454" s="18" t="s">
        <v>2434</v>
      </c>
    </row>
    <row r="455" spans="1:2" x14ac:dyDescent="0.15">
      <c r="A455" s="19" t="s">
        <v>2435</v>
      </c>
      <c r="B455" s="19" t="s">
        <v>2436</v>
      </c>
    </row>
    <row r="456" spans="1:2" x14ac:dyDescent="0.15">
      <c r="A456" s="18" t="s">
        <v>2437</v>
      </c>
      <c r="B456" s="18" t="s">
        <v>2438</v>
      </c>
    </row>
    <row r="457" spans="1:2" x14ac:dyDescent="0.15">
      <c r="A457" s="19" t="s">
        <v>2439</v>
      </c>
      <c r="B457" s="19" t="s">
        <v>2440</v>
      </c>
    </row>
    <row r="458" spans="1:2" x14ac:dyDescent="0.15">
      <c r="A458" s="18" t="s">
        <v>2441</v>
      </c>
      <c r="B458" s="18" t="s">
        <v>2442</v>
      </c>
    </row>
    <row r="459" spans="1:2" x14ac:dyDescent="0.15">
      <c r="A459" s="19" t="s">
        <v>2443</v>
      </c>
      <c r="B459" s="19" t="s">
        <v>2444</v>
      </c>
    </row>
    <row r="460" spans="1:2" x14ac:dyDescent="0.15">
      <c r="A460" s="18" t="s">
        <v>2445</v>
      </c>
      <c r="B460" s="18" t="s">
        <v>2446</v>
      </c>
    </row>
    <row r="461" spans="1:2" x14ac:dyDescent="0.15">
      <c r="A461" s="19" t="s">
        <v>2447</v>
      </c>
      <c r="B461" s="19" t="s">
        <v>2448</v>
      </c>
    </row>
    <row r="462" spans="1:2" x14ac:dyDescent="0.15">
      <c r="A462" s="18" t="s">
        <v>2449</v>
      </c>
      <c r="B462" s="18" t="s">
        <v>2450</v>
      </c>
    </row>
    <row r="463" spans="1:2" x14ac:dyDescent="0.15">
      <c r="A463" s="19" t="s">
        <v>2451</v>
      </c>
      <c r="B463" s="19" t="s">
        <v>2452</v>
      </c>
    </row>
    <row r="464" spans="1:2" x14ac:dyDescent="0.15">
      <c r="A464" s="18" t="s">
        <v>2453</v>
      </c>
      <c r="B464" s="18" t="s">
        <v>2454</v>
      </c>
    </row>
    <row r="465" spans="1:2" x14ac:dyDescent="0.15">
      <c r="A465" s="19" t="s">
        <v>2455</v>
      </c>
      <c r="B465" s="19" t="s">
        <v>2456</v>
      </c>
    </row>
    <row r="466" spans="1:2" x14ac:dyDescent="0.15">
      <c r="A466" s="18" t="s">
        <v>2457</v>
      </c>
      <c r="B466" s="18" t="s">
        <v>2458</v>
      </c>
    </row>
    <row r="467" spans="1:2" x14ac:dyDescent="0.15">
      <c r="A467" s="19" t="s">
        <v>2459</v>
      </c>
      <c r="B467" s="19" t="s">
        <v>2460</v>
      </c>
    </row>
    <row r="468" spans="1:2" x14ac:dyDescent="0.15">
      <c r="A468" s="18" t="s">
        <v>2461</v>
      </c>
      <c r="B468" s="18" t="s">
        <v>2462</v>
      </c>
    </row>
    <row r="469" spans="1:2" x14ac:dyDescent="0.15">
      <c r="A469" s="19" t="s">
        <v>2463</v>
      </c>
      <c r="B469" s="19" t="s">
        <v>2464</v>
      </c>
    </row>
    <row r="470" spans="1:2" x14ac:dyDescent="0.15">
      <c r="A470" s="18" t="s">
        <v>2465</v>
      </c>
      <c r="B470" s="18" t="s">
        <v>2466</v>
      </c>
    </row>
    <row r="471" spans="1:2" x14ac:dyDescent="0.15">
      <c r="A471" s="19" t="s">
        <v>2467</v>
      </c>
      <c r="B471" s="19" t="s">
        <v>2468</v>
      </c>
    </row>
    <row r="472" spans="1:2" x14ac:dyDescent="0.15">
      <c r="A472" s="18" t="s">
        <v>2469</v>
      </c>
      <c r="B472" s="18" t="s">
        <v>2470</v>
      </c>
    </row>
    <row r="473" spans="1:2" x14ac:dyDescent="0.15">
      <c r="A473" s="19" t="s">
        <v>2471</v>
      </c>
      <c r="B473" s="19" t="s">
        <v>2472</v>
      </c>
    </row>
    <row r="474" spans="1:2" x14ac:dyDescent="0.15">
      <c r="A474" s="18" t="s">
        <v>2473</v>
      </c>
      <c r="B474" s="18" t="s">
        <v>2474</v>
      </c>
    </row>
    <row r="475" spans="1:2" x14ac:dyDescent="0.15">
      <c r="A475" s="19" t="s">
        <v>2475</v>
      </c>
      <c r="B475" s="19" t="s">
        <v>2476</v>
      </c>
    </row>
    <row r="476" spans="1:2" x14ac:dyDescent="0.15">
      <c r="A476" s="18" t="s">
        <v>2477</v>
      </c>
      <c r="B476" s="18" t="s">
        <v>2478</v>
      </c>
    </row>
    <row r="477" spans="1:2" x14ac:dyDescent="0.15">
      <c r="A477" s="19" t="s">
        <v>2479</v>
      </c>
      <c r="B477" s="19" t="s">
        <v>2480</v>
      </c>
    </row>
    <row r="478" spans="1:2" x14ac:dyDescent="0.15">
      <c r="A478" s="18" t="s">
        <v>2481</v>
      </c>
      <c r="B478" s="18" t="s">
        <v>2482</v>
      </c>
    </row>
    <row r="479" spans="1:2" x14ac:dyDescent="0.15">
      <c r="A479" s="19" t="s">
        <v>2483</v>
      </c>
      <c r="B479" s="19" t="s">
        <v>2484</v>
      </c>
    </row>
    <row r="480" spans="1:2" x14ac:dyDescent="0.15">
      <c r="A480" s="18" t="s">
        <v>2485</v>
      </c>
      <c r="B480" s="18" t="s">
        <v>2486</v>
      </c>
    </row>
    <row r="481" spans="1:2" x14ac:dyDescent="0.15">
      <c r="A481" s="19" t="s">
        <v>2487</v>
      </c>
      <c r="B481" s="19" t="s">
        <v>2488</v>
      </c>
    </row>
    <row r="482" spans="1:2" x14ac:dyDescent="0.15">
      <c r="A482" s="18" t="s">
        <v>2489</v>
      </c>
      <c r="B482" s="18" t="s">
        <v>2490</v>
      </c>
    </row>
    <row r="483" spans="1:2" x14ac:dyDescent="0.15">
      <c r="A483" s="19" t="s">
        <v>2491</v>
      </c>
      <c r="B483" s="19" t="s">
        <v>2492</v>
      </c>
    </row>
    <row r="484" spans="1:2" x14ac:dyDescent="0.15">
      <c r="A484" s="18" t="s">
        <v>2493</v>
      </c>
      <c r="B484" s="18" t="s">
        <v>2494</v>
      </c>
    </row>
    <row r="485" spans="1:2" x14ac:dyDescent="0.15">
      <c r="A485" s="19" t="s">
        <v>2495</v>
      </c>
      <c r="B485" s="19" t="s">
        <v>2496</v>
      </c>
    </row>
    <row r="486" spans="1:2" x14ac:dyDescent="0.15">
      <c r="A486" s="18" t="s">
        <v>2497</v>
      </c>
      <c r="B486" s="18" t="s">
        <v>2498</v>
      </c>
    </row>
    <row r="487" spans="1:2" x14ac:dyDescent="0.15">
      <c r="A487" s="19" t="s">
        <v>2499</v>
      </c>
      <c r="B487" s="19" t="s">
        <v>2500</v>
      </c>
    </row>
    <row r="488" spans="1:2" x14ac:dyDescent="0.15">
      <c r="A488" s="18" t="s">
        <v>2501</v>
      </c>
      <c r="B488" s="18" t="s">
        <v>2502</v>
      </c>
    </row>
    <row r="489" spans="1:2" x14ac:dyDescent="0.15">
      <c r="A489" s="19" t="s">
        <v>2503</v>
      </c>
      <c r="B489" s="19" t="s">
        <v>2504</v>
      </c>
    </row>
    <row r="490" spans="1:2" x14ac:dyDescent="0.15">
      <c r="A490" s="18" t="s">
        <v>2505</v>
      </c>
      <c r="B490" s="18" t="s">
        <v>2506</v>
      </c>
    </row>
    <row r="491" spans="1:2" x14ac:dyDescent="0.15">
      <c r="A491" s="19" t="s">
        <v>2507</v>
      </c>
      <c r="B491" s="19" t="s">
        <v>2508</v>
      </c>
    </row>
    <row r="492" spans="1:2" x14ac:dyDescent="0.15">
      <c r="A492" s="18" t="s">
        <v>2509</v>
      </c>
      <c r="B492" s="18" t="s">
        <v>2510</v>
      </c>
    </row>
    <row r="493" spans="1:2" x14ac:dyDescent="0.15">
      <c r="A493" s="19" t="s">
        <v>2511</v>
      </c>
      <c r="B493" s="19" t="s">
        <v>2512</v>
      </c>
    </row>
    <row r="494" spans="1:2" x14ac:dyDescent="0.15">
      <c r="A494" s="18" t="s">
        <v>2513</v>
      </c>
      <c r="B494" s="18" t="s">
        <v>2514</v>
      </c>
    </row>
    <row r="495" spans="1:2" x14ac:dyDescent="0.15">
      <c r="A495" s="19" t="s">
        <v>2515</v>
      </c>
      <c r="B495" s="19" t="s">
        <v>2516</v>
      </c>
    </row>
    <row r="496" spans="1:2" x14ac:dyDescent="0.15">
      <c r="A496" s="18" t="s">
        <v>2517</v>
      </c>
      <c r="B496" s="18" t="s">
        <v>2518</v>
      </c>
    </row>
    <row r="497" spans="1:2" x14ac:dyDescent="0.15">
      <c r="A497" s="19" t="s">
        <v>2519</v>
      </c>
      <c r="B497" s="19" t="s">
        <v>2520</v>
      </c>
    </row>
    <row r="498" spans="1:2" x14ac:dyDescent="0.15">
      <c r="A498" s="18" t="s">
        <v>2521</v>
      </c>
      <c r="B498" s="18" t="s">
        <v>2522</v>
      </c>
    </row>
    <row r="499" spans="1:2" x14ac:dyDescent="0.15">
      <c r="A499" s="19" t="s">
        <v>2523</v>
      </c>
      <c r="B499" s="19" t="s">
        <v>2524</v>
      </c>
    </row>
    <row r="500" spans="1:2" x14ac:dyDescent="0.15">
      <c r="A500" s="18" t="s">
        <v>2525</v>
      </c>
      <c r="B500" s="18" t="s">
        <v>2526</v>
      </c>
    </row>
    <row r="501" spans="1:2" x14ac:dyDescent="0.15">
      <c r="A501" s="19" t="s">
        <v>2527</v>
      </c>
      <c r="B501" s="19" t="s">
        <v>2528</v>
      </c>
    </row>
    <row r="502" spans="1:2" x14ac:dyDescent="0.15">
      <c r="A502" s="18" t="s">
        <v>2529</v>
      </c>
      <c r="B502" s="18" t="s">
        <v>2530</v>
      </c>
    </row>
    <row r="503" spans="1:2" x14ac:dyDescent="0.15">
      <c r="A503" s="19" t="s">
        <v>2531</v>
      </c>
      <c r="B503" s="19" t="s">
        <v>2532</v>
      </c>
    </row>
    <row r="504" spans="1:2" x14ac:dyDescent="0.15">
      <c r="A504" s="18" t="s">
        <v>2533</v>
      </c>
      <c r="B504" s="18" t="s">
        <v>2534</v>
      </c>
    </row>
    <row r="505" spans="1:2" x14ac:dyDescent="0.15">
      <c r="A505" s="19" t="s">
        <v>2535</v>
      </c>
      <c r="B505" s="19" t="s">
        <v>2536</v>
      </c>
    </row>
    <row r="506" spans="1:2" x14ac:dyDescent="0.15">
      <c r="A506" s="18" t="s">
        <v>2537</v>
      </c>
      <c r="B506" s="18" t="s">
        <v>2538</v>
      </c>
    </row>
    <row r="507" spans="1:2" x14ac:dyDescent="0.15">
      <c r="A507" s="19" t="s">
        <v>2539</v>
      </c>
      <c r="B507" s="19" t="s">
        <v>2540</v>
      </c>
    </row>
    <row r="508" spans="1:2" x14ac:dyDescent="0.15">
      <c r="A508" s="18" t="s">
        <v>2541</v>
      </c>
      <c r="B508" s="18" t="s">
        <v>2542</v>
      </c>
    </row>
    <row r="509" spans="1:2" x14ac:dyDescent="0.15">
      <c r="A509" s="19" t="s">
        <v>2543</v>
      </c>
      <c r="B509" s="19" t="s">
        <v>2544</v>
      </c>
    </row>
    <row r="510" spans="1:2" x14ac:dyDescent="0.15">
      <c r="A510" s="18" t="s">
        <v>2545</v>
      </c>
      <c r="B510" s="18" t="s">
        <v>2546</v>
      </c>
    </row>
    <row r="511" spans="1:2" x14ac:dyDescent="0.15">
      <c r="A511" s="19" t="s">
        <v>2547</v>
      </c>
      <c r="B511" s="19" t="s">
        <v>2548</v>
      </c>
    </row>
    <row r="512" spans="1:2" x14ac:dyDescent="0.15">
      <c r="A512" s="18" t="s">
        <v>2549</v>
      </c>
      <c r="B512" s="18" t="s">
        <v>2550</v>
      </c>
    </row>
    <row r="513" spans="1:2" x14ac:dyDescent="0.15">
      <c r="A513" s="19" t="s">
        <v>2551</v>
      </c>
      <c r="B513" s="19" t="s">
        <v>2552</v>
      </c>
    </row>
    <row r="514" spans="1:2" x14ac:dyDescent="0.15">
      <c r="A514" s="18" t="s">
        <v>2553</v>
      </c>
      <c r="B514" s="18" t="s">
        <v>2554</v>
      </c>
    </row>
    <row r="515" spans="1:2" x14ac:dyDescent="0.15">
      <c r="A515" s="19" t="s">
        <v>2555</v>
      </c>
      <c r="B515" s="19" t="s">
        <v>2556</v>
      </c>
    </row>
    <row r="516" spans="1:2" x14ac:dyDescent="0.15">
      <c r="A516" s="18" t="s">
        <v>2557</v>
      </c>
      <c r="B516" s="18" t="s">
        <v>2558</v>
      </c>
    </row>
    <row r="517" spans="1:2" x14ac:dyDescent="0.15">
      <c r="A517" s="19" t="s">
        <v>2559</v>
      </c>
      <c r="B517" s="19" t="s">
        <v>2560</v>
      </c>
    </row>
    <row r="518" spans="1:2" x14ac:dyDescent="0.15">
      <c r="A518" s="18" t="s">
        <v>2561</v>
      </c>
      <c r="B518" s="18" t="s">
        <v>2562</v>
      </c>
    </row>
    <row r="519" spans="1:2" x14ac:dyDescent="0.15">
      <c r="A519" s="19" t="s">
        <v>2563</v>
      </c>
      <c r="B519" s="19" t="s">
        <v>2564</v>
      </c>
    </row>
    <row r="520" spans="1:2" x14ac:dyDescent="0.15">
      <c r="A520" s="18" t="s">
        <v>2565</v>
      </c>
      <c r="B520" s="18" t="s">
        <v>2566</v>
      </c>
    </row>
    <row r="521" spans="1:2" x14ac:dyDescent="0.15">
      <c r="A521" s="19" t="s">
        <v>2567</v>
      </c>
      <c r="B521" s="19" t="s">
        <v>2568</v>
      </c>
    </row>
    <row r="522" spans="1:2" x14ac:dyDescent="0.15">
      <c r="A522" s="18" t="s">
        <v>2569</v>
      </c>
      <c r="B522" s="18" t="s">
        <v>2570</v>
      </c>
    </row>
    <row r="523" spans="1:2" x14ac:dyDescent="0.15">
      <c r="A523" s="19" t="s">
        <v>2571</v>
      </c>
      <c r="B523" s="19" t="s">
        <v>2572</v>
      </c>
    </row>
    <row r="524" spans="1:2" x14ac:dyDescent="0.15">
      <c r="A524" s="18" t="s">
        <v>2573</v>
      </c>
      <c r="B524" s="18" t="s">
        <v>2574</v>
      </c>
    </row>
    <row r="525" spans="1:2" x14ac:dyDescent="0.15">
      <c r="A525" s="19" t="s">
        <v>2575</v>
      </c>
      <c r="B525" s="19" t="s">
        <v>2576</v>
      </c>
    </row>
    <row r="526" spans="1:2" x14ac:dyDescent="0.15">
      <c r="A526" s="18" t="s">
        <v>2577</v>
      </c>
      <c r="B526" s="18" t="s">
        <v>2578</v>
      </c>
    </row>
    <row r="527" spans="1:2" x14ac:dyDescent="0.15">
      <c r="A527" s="19" t="s">
        <v>2579</v>
      </c>
      <c r="B527" s="19" t="s">
        <v>2580</v>
      </c>
    </row>
    <row r="528" spans="1:2" x14ac:dyDescent="0.15">
      <c r="A528" s="18" t="s">
        <v>2581</v>
      </c>
      <c r="B528" s="18" t="s">
        <v>2582</v>
      </c>
    </row>
    <row r="529" spans="1:2" x14ac:dyDescent="0.15">
      <c r="A529" s="19" t="s">
        <v>2583</v>
      </c>
      <c r="B529" s="19" t="s">
        <v>2584</v>
      </c>
    </row>
    <row r="530" spans="1:2" x14ac:dyDescent="0.15">
      <c r="A530" s="18" t="s">
        <v>2585</v>
      </c>
      <c r="B530" s="18" t="s">
        <v>2586</v>
      </c>
    </row>
    <row r="531" spans="1:2" x14ac:dyDescent="0.15">
      <c r="A531" s="19" t="s">
        <v>2587</v>
      </c>
      <c r="B531" s="19" t="s">
        <v>2588</v>
      </c>
    </row>
    <row r="532" spans="1:2" x14ac:dyDescent="0.15">
      <c r="A532" s="18" t="s">
        <v>2589</v>
      </c>
      <c r="B532" s="18" t="s">
        <v>2590</v>
      </c>
    </row>
    <row r="533" spans="1:2" x14ac:dyDescent="0.15">
      <c r="A533" s="19" t="s">
        <v>2591</v>
      </c>
      <c r="B533" s="19" t="s">
        <v>2592</v>
      </c>
    </row>
    <row r="534" spans="1:2" x14ac:dyDescent="0.15">
      <c r="A534" s="18" t="s">
        <v>2593</v>
      </c>
      <c r="B534" s="18" t="s">
        <v>2594</v>
      </c>
    </row>
    <row r="535" spans="1:2" x14ac:dyDescent="0.15">
      <c r="A535" s="19" t="s">
        <v>2595</v>
      </c>
      <c r="B535" s="19" t="s">
        <v>2596</v>
      </c>
    </row>
    <row r="536" spans="1:2" x14ac:dyDescent="0.15">
      <c r="A536" s="18" t="s">
        <v>2597</v>
      </c>
      <c r="B536" s="18" t="s">
        <v>2598</v>
      </c>
    </row>
    <row r="537" spans="1:2" x14ac:dyDescent="0.15">
      <c r="A537" s="19" t="s">
        <v>2599</v>
      </c>
      <c r="B537" s="19" t="s">
        <v>2600</v>
      </c>
    </row>
    <row r="538" spans="1:2" x14ac:dyDescent="0.15">
      <c r="A538" s="18" t="s">
        <v>2601</v>
      </c>
      <c r="B538" s="18" t="s">
        <v>2602</v>
      </c>
    </row>
    <row r="539" spans="1:2" x14ac:dyDescent="0.15">
      <c r="A539" s="19" t="s">
        <v>2603</v>
      </c>
      <c r="B539" s="19" t="s">
        <v>2604</v>
      </c>
    </row>
    <row r="540" spans="1:2" x14ac:dyDescent="0.15">
      <c r="A540" s="18" t="s">
        <v>2605</v>
      </c>
      <c r="B540" s="18" t="s">
        <v>2606</v>
      </c>
    </row>
    <row r="541" spans="1:2" x14ac:dyDescent="0.15">
      <c r="A541" s="19" t="s">
        <v>2607</v>
      </c>
      <c r="B541" s="19" t="s">
        <v>2608</v>
      </c>
    </row>
    <row r="542" spans="1:2" x14ac:dyDescent="0.15">
      <c r="A542" s="18" t="s">
        <v>2609</v>
      </c>
      <c r="B542" s="18" t="s">
        <v>2610</v>
      </c>
    </row>
    <row r="543" spans="1:2" x14ac:dyDescent="0.15">
      <c r="A543" s="19" t="s">
        <v>2611</v>
      </c>
      <c r="B543" s="19" t="s">
        <v>2612</v>
      </c>
    </row>
    <row r="544" spans="1:2" x14ac:dyDescent="0.15">
      <c r="A544" s="18" t="s">
        <v>2613</v>
      </c>
      <c r="B544" s="18" t="s">
        <v>2614</v>
      </c>
    </row>
    <row r="545" spans="1:2" x14ac:dyDescent="0.15">
      <c r="A545" s="19" t="s">
        <v>2615</v>
      </c>
      <c r="B545" s="19" t="s">
        <v>2616</v>
      </c>
    </row>
    <row r="546" spans="1:2" x14ac:dyDescent="0.15">
      <c r="A546" s="18" t="s">
        <v>2617</v>
      </c>
      <c r="B546" s="18" t="s">
        <v>2618</v>
      </c>
    </row>
    <row r="547" spans="1:2" x14ac:dyDescent="0.15">
      <c r="A547" s="19" t="s">
        <v>2619</v>
      </c>
      <c r="B547" s="19" t="s">
        <v>2620</v>
      </c>
    </row>
    <row r="548" spans="1:2" x14ac:dyDescent="0.15">
      <c r="A548" s="18" t="s">
        <v>2621</v>
      </c>
      <c r="B548" s="18" t="s">
        <v>2622</v>
      </c>
    </row>
    <row r="549" spans="1:2" x14ac:dyDescent="0.15">
      <c r="A549" s="19" t="s">
        <v>2623</v>
      </c>
      <c r="B549" s="19" t="s">
        <v>2624</v>
      </c>
    </row>
    <row r="550" spans="1:2" x14ac:dyDescent="0.15">
      <c r="A550" s="18" t="s">
        <v>2625</v>
      </c>
      <c r="B550" s="18" t="s">
        <v>2626</v>
      </c>
    </row>
    <row r="551" spans="1:2" x14ac:dyDescent="0.15">
      <c r="A551" s="19" t="s">
        <v>2627</v>
      </c>
      <c r="B551" s="19" t="s">
        <v>2628</v>
      </c>
    </row>
    <row r="552" spans="1:2" x14ac:dyDescent="0.15">
      <c r="A552" s="18" t="s">
        <v>2629</v>
      </c>
      <c r="B552" s="18" t="s">
        <v>2630</v>
      </c>
    </row>
    <row r="553" spans="1:2" x14ac:dyDescent="0.15">
      <c r="A553" s="19" t="s">
        <v>2631</v>
      </c>
      <c r="B553" s="19" t="s">
        <v>2632</v>
      </c>
    </row>
    <row r="554" spans="1:2" x14ac:dyDescent="0.15">
      <c r="A554" s="18" t="s">
        <v>2633</v>
      </c>
      <c r="B554" s="18" t="s">
        <v>2634</v>
      </c>
    </row>
    <row r="555" spans="1:2" x14ac:dyDescent="0.15">
      <c r="A555" s="19" t="s">
        <v>2635</v>
      </c>
      <c r="B555" s="19" t="s">
        <v>2636</v>
      </c>
    </row>
    <row r="556" spans="1:2" x14ac:dyDescent="0.15">
      <c r="A556" s="18" t="s">
        <v>2637</v>
      </c>
      <c r="B556" s="18" t="s">
        <v>2638</v>
      </c>
    </row>
    <row r="557" spans="1:2" x14ac:dyDescent="0.15">
      <c r="A557" s="19" t="s">
        <v>2639</v>
      </c>
      <c r="B557" s="19" t="s">
        <v>2640</v>
      </c>
    </row>
    <row r="558" spans="1:2" x14ac:dyDescent="0.15">
      <c r="A558" s="18" t="s">
        <v>2641</v>
      </c>
      <c r="B558" s="18" t="s">
        <v>2642</v>
      </c>
    </row>
    <row r="559" spans="1:2" x14ac:dyDescent="0.15">
      <c r="A559" s="19" t="s">
        <v>2643</v>
      </c>
      <c r="B559" s="19" t="s">
        <v>2644</v>
      </c>
    </row>
    <row r="560" spans="1:2" x14ac:dyDescent="0.15">
      <c r="A560" s="18" t="s">
        <v>2645</v>
      </c>
      <c r="B560" s="18" t="s">
        <v>2646</v>
      </c>
    </row>
    <row r="561" spans="1:2" x14ac:dyDescent="0.15">
      <c r="A561" s="19" t="s">
        <v>2647</v>
      </c>
      <c r="B561" s="19" t="s">
        <v>2648</v>
      </c>
    </row>
    <row r="562" spans="1:2" x14ac:dyDescent="0.15">
      <c r="A562" s="18" t="s">
        <v>2649</v>
      </c>
      <c r="B562" s="18" t="s">
        <v>2650</v>
      </c>
    </row>
    <row r="563" spans="1:2" x14ac:dyDescent="0.15">
      <c r="A563" s="19" t="s">
        <v>2651</v>
      </c>
      <c r="B563" s="19" t="s">
        <v>2652</v>
      </c>
    </row>
    <row r="564" spans="1:2" x14ac:dyDescent="0.15">
      <c r="A564" s="18" t="s">
        <v>2653</v>
      </c>
      <c r="B564" s="18" t="s">
        <v>2654</v>
      </c>
    </row>
    <row r="565" spans="1:2" x14ac:dyDescent="0.15">
      <c r="A565" s="19" t="s">
        <v>2655</v>
      </c>
      <c r="B565" s="19" t="s">
        <v>2656</v>
      </c>
    </row>
    <row r="566" spans="1:2" x14ac:dyDescent="0.15">
      <c r="A566" s="18" t="s">
        <v>2657</v>
      </c>
      <c r="B566" s="18" t="s">
        <v>2658</v>
      </c>
    </row>
    <row r="567" spans="1:2" x14ac:dyDescent="0.15">
      <c r="A567" s="19" t="s">
        <v>2659</v>
      </c>
      <c r="B567" s="19" t="s">
        <v>2660</v>
      </c>
    </row>
    <row r="568" spans="1:2" x14ac:dyDescent="0.15">
      <c r="A568" s="18" t="s">
        <v>2661</v>
      </c>
      <c r="B568" s="18" t="s">
        <v>2662</v>
      </c>
    </row>
    <row r="569" spans="1:2" x14ac:dyDescent="0.15">
      <c r="A569" s="19" t="s">
        <v>2663</v>
      </c>
      <c r="B569" s="19" t="s">
        <v>2664</v>
      </c>
    </row>
    <row r="570" spans="1:2" x14ac:dyDescent="0.15">
      <c r="A570" s="18" t="s">
        <v>2665</v>
      </c>
      <c r="B570" s="18" t="s">
        <v>2666</v>
      </c>
    </row>
    <row r="571" spans="1:2" x14ac:dyDescent="0.15">
      <c r="A571" s="19" t="s">
        <v>2667</v>
      </c>
      <c r="B571" s="19" t="s">
        <v>2668</v>
      </c>
    </row>
    <row r="572" spans="1:2" x14ac:dyDescent="0.15">
      <c r="A572" s="18" t="s">
        <v>2669</v>
      </c>
      <c r="B572" s="18" t="s">
        <v>2670</v>
      </c>
    </row>
    <row r="573" spans="1:2" x14ac:dyDescent="0.15">
      <c r="A573" s="19" t="s">
        <v>2671</v>
      </c>
      <c r="B573" s="19" t="s">
        <v>2672</v>
      </c>
    </row>
    <row r="574" spans="1:2" x14ac:dyDescent="0.15">
      <c r="A574" s="18" t="s">
        <v>2673</v>
      </c>
      <c r="B574" s="18" t="s">
        <v>2674</v>
      </c>
    </row>
    <row r="575" spans="1:2" x14ac:dyDescent="0.15">
      <c r="A575" s="19" t="s">
        <v>2675</v>
      </c>
      <c r="B575" s="19" t="s">
        <v>2676</v>
      </c>
    </row>
    <row r="576" spans="1:2" x14ac:dyDescent="0.15">
      <c r="A576" s="18" t="s">
        <v>2677</v>
      </c>
      <c r="B576" s="18" t="s">
        <v>2678</v>
      </c>
    </row>
    <row r="577" spans="1:2" x14ac:dyDescent="0.15">
      <c r="A577" s="19" t="s">
        <v>2679</v>
      </c>
      <c r="B577" s="19" t="s">
        <v>2680</v>
      </c>
    </row>
    <row r="578" spans="1:2" x14ac:dyDescent="0.15">
      <c r="A578" s="18" t="s">
        <v>2681</v>
      </c>
      <c r="B578" s="18" t="s">
        <v>2682</v>
      </c>
    </row>
    <row r="579" spans="1:2" x14ac:dyDescent="0.15">
      <c r="A579" s="19" t="s">
        <v>2683</v>
      </c>
      <c r="B579" s="19" t="s">
        <v>2684</v>
      </c>
    </row>
    <row r="580" spans="1:2" x14ac:dyDescent="0.15">
      <c r="A580" s="18" t="s">
        <v>2685</v>
      </c>
      <c r="B580" s="18" t="s">
        <v>2686</v>
      </c>
    </row>
    <row r="581" spans="1:2" x14ac:dyDescent="0.15">
      <c r="A581" s="19" t="s">
        <v>2687</v>
      </c>
      <c r="B581" s="19" t="s">
        <v>2688</v>
      </c>
    </row>
    <row r="582" spans="1:2" x14ac:dyDescent="0.15">
      <c r="A582" s="18" t="s">
        <v>2689</v>
      </c>
      <c r="B582" s="18" t="s">
        <v>2690</v>
      </c>
    </row>
    <row r="583" spans="1:2" x14ac:dyDescent="0.15">
      <c r="A583" s="19" t="s">
        <v>2691</v>
      </c>
      <c r="B583" s="19" t="s">
        <v>2692</v>
      </c>
    </row>
    <row r="584" spans="1:2" x14ac:dyDescent="0.15">
      <c r="A584" s="18" t="s">
        <v>2693</v>
      </c>
      <c r="B584" s="18" t="s">
        <v>2694</v>
      </c>
    </row>
    <row r="585" spans="1:2" x14ac:dyDescent="0.15">
      <c r="A585" s="19" t="s">
        <v>2695</v>
      </c>
      <c r="B585" s="19" t="s">
        <v>2696</v>
      </c>
    </row>
    <row r="586" spans="1:2" x14ac:dyDescent="0.15">
      <c r="A586" s="18" t="s">
        <v>2697</v>
      </c>
      <c r="B586" s="18" t="s">
        <v>2698</v>
      </c>
    </row>
    <row r="587" spans="1:2" x14ac:dyDescent="0.15">
      <c r="A587" s="19" t="s">
        <v>2699</v>
      </c>
      <c r="B587" s="19" t="s">
        <v>2700</v>
      </c>
    </row>
    <row r="588" spans="1:2" x14ac:dyDescent="0.15">
      <c r="A588" s="18" t="s">
        <v>2701</v>
      </c>
      <c r="B588" s="18" t="s">
        <v>2702</v>
      </c>
    </row>
    <row r="589" spans="1:2" x14ac:dyDescent="0.15">
      <c r="A589" s="19" t="s">
        <v>2703</v>
      </c>
      <c r="B589" s="19" t="s">
        <v>2704</v>
      </c>
    </row>
    <row r="590" spans="1:2" x14ac:dyDescent="0.15">
      <c r="A590" s="18" t="s">
        <v>2705</v>
      </c>
      <c r="B590" s="18" t="s">
        <v>2706</v>
      </c>
    </row>
    <row r="591" spans="1:2" x14ac:dyDescent="0.15">
      <c r="A591" s="19" t="s">
        <v>2707</v>
      </c>
      <c r="B591" s="19" t="s">
        <v>2708</v>
      </c>
    </row>
    <row r="592" spans="1:2" x14ac:dyDescent="0.15">
      <c r="A592" s="18" t="s">
        <v>2709</v>
      </c>
      <c r="B592" s="18" t="s">
        <v>2710</v>
      </c>
    </row>
    <row r="593" spans="1:2" x14ac:dyDescent="0.15">
      <c r="A593" s="19" t="s">
        <v>2711</v>
      </c>
      <c r="B593" s="19" t="s">
        <v>2712</v>
      </c>
    </row>
    <row r="594" spans="1:2" x14ac:dyDescent="0.15">
      <c r="A594" s="18" t="s">
        <v>2713</v>
      </c>
      <c r="B594" s="18" t="s">
        <v>2714</v>
      </c>
    </row>
    <row r="595" spans="1:2" x14ac:dyDescent="0.15">
      <c r="A595" s="19" t="s">
        <v>2715</v>
      </c>
      <c r="B595" s="19" t="s">
        <v>2716</v>
      </c>
    </row>
    <row r="596" spans="1:2" x14ac:dyDescent="0.15">
      <c r="A596" s="18" t="s">
        <v>2717</v>
      </c>
      <c r="B596" s="18" t="s">
        <v>2718</v>
      </c>
    </row>
    <row r="597" spans="1:2" x14ac:dyDescent="0.15">
      <c r="A597" s="19" t="s">
        <v>2719</v>
      </c>
      <c r="B597" s="19" t="s">
        <v>2720</v>
      </c>
    </row>
    <row r="598" spans="1:2" x14ac:dyDescent="0.15">
      <c r="A598" s="18" t="s">
        <v>2721</v>
      </c>
      <c r="B598" s="18" t="s">
        <v>2722</v>
      </c>
    </row>
    <row r="599" spans="1:2" x14ac:dyDescent="0.15">
      <c r="A599" s="19" t="s">
        <v>2723</v>
      </c>
      <c r="B599" s="19" t="s">
        <v>2724</v>
      </c>
    </row>
    <row r="600" spans="1:2" x14ac:dyDescent="0.15">
      <c r="A600" s="18" t="s">
        <v>2725</v>
      </c>
      <c r="B600" s="18" t="s">
        <v>2726</v>
      </c>
    </row>
    <row r="601" spans="1:2" x14ac:dyDescent="0.15">
      <c r="A601" s="19" t="s">
        <v>2727</v>
      </c>
      <c r="B601" s="19" t="s">
        <v>2728</v>
      </c>
    </row>
    <row r="602" spans="1:2" x14ac:dyDescent="0.15">
      <c r="A602" s="18" t="s">
        <v>2729</v>
      </c>
      <c r="B602" s="18" t="s">
        <v>2730</v>
      </c>
    </row>
    <row r="603" spans="1:2" x14ac:dyDescent="0.15">
      <c r="A603" s="19" t="s">
        <v>2731</v>
      </c>
      <c r="B603" s="19" t="s">
        <v>2732</v>
      </c>
    </row>
    <row r="604" spans="1:2" x14ac:dyDescent="0.15">
      <c r="A604" s="18" t="s">
        <v>2733</v>
      </c>
      <c r="B604" s="18" t="s">
        <v>2734</v>
      </c>
    </row>
    <row r="605" spans="1:2" x14ac:dyDescent="0.15">
      <c r="A605" s="19" t="s">
        <v>2735</v>
      </c>
      <c r="B605" s="19" t="s">
        <v>2736</v>
      </c>
    </row>
    <row r="606" spans="1:2" x14ac:dyDescent="0.15">
      <c r="A606" s="18" t="s">
        <v>2737</v>
      </c>
      <c r="B606" s="18" t="s">
        <v>2738</v>
      </c>
    </row>
    <row r="607" spans="1:2" x14ac:dyDescent="0.15">
      <c r="A607" s="19" t="s">
        <v>2739</v>
      </c>
      <c r="B607" s="19" t="s">
        <v>2740</v>
      </c>
    </row>
    <row r="608" spans="1:2" x14ac:dyDescent="0.15">
      <c r="A608" s="18" t="s">
        <v>2741</v>
      </c>
      <c r="B608" s="18" t="s">
        <v>2742</v>
      </c>
    </row>
    <row r="609" spans="1:2" x14ac:dyDescent="0.15">
      <c r="A609" s="19" t="s">
        <v>2743</v>
      </c>
      <c r="B609" s="19" t="s">
        <v>2744</v>
      </c>
    </row>
    <row r="610" spans="1:2" x14ac:dyDescent="0.15">
      <c r="A610" s="18" t="s">
        <v>2745</v>
      </c>
      <c r="B610" s="18" t="s">
        <v>2746</v>
      </c>
    </row>
    <row r="611" spans="1:2" x14ac:dyDescent="0.15">
      <c r="A611" s="19" t="s">
        <v>2747</v>
      </c>
      <c r="B611" s="19" t="s">
        <v>2748</v>
      </c>
    </row>
    <row r="612" spans="1:2" x14ac:dyDescent="0.15">
      <c r="A612" s="18" t="s">
        <v>2749</v>
      </c>
      <c r="B612" s="18" t="s">
        <v>2750</v>
      </c>
    </row>
    <row r="613" spans="1:2" x14ac:dyDescent="0.15">
      <c r="A613" s="19" t="s">
        <v>2751</v>
      </c>
      <c r="B613" s="19" t="s">
        <v>2752</v>
      </c>
    </row>
    <row r="614" spans="1:2" x14ac:dyDescent="0.15">
      <c r="A614" s="18" t="s">
        <v>2753</v>
      </c>
      <c r="B614" s="18" t="s">
        <v>2754</v>
      </c>
    </row>
    <row r="615" spans="1:2" x14ac:dyDescent="0.15">
      <c r="A615" s="19" t="s">
        <v>2755</v>
      </c>
      <c r="B615" s="19" t="s">
        <v>2756</v>
      </c>
    </row>
    <row r="616" spans="1:2" x14ac:dyDescent="0.15">
      <c r="A616" s="18" t="s">
        <v>2757</v>
      </c>
      <c r="B616" s="18" t="s">
        <v>2758</v>
      </c>
    </row>
    <row r="617" spans="1:2" x14ac:dyDescent="0.15">
      <c r="A617" s="19" t="s">
        <v>2759</v>
      </c>
      <c r="B617" s="19" t="s">
        <v>2760</v>
      </c>
    </row>
    <row r="618" spans="1:2" x14ac:dyDescent="0.15">
      <c r="A618" s="18" t="s">
        <v>2761</v>
      </c>
      <c r="B618" s="18" t="s">
        <v>2762</v>
      </c>
    </row>
    <row r="619" spans="1:2" x14ac:dyDescent="0.15">
      <c r="A619" s="19" t="s">
        <v>2763</v>
      </c>
      <c r="B619" s="19" t="s">
        <v>2764</v>
      </c>
    </row>
    <row r="620" spans="1:2" x14ac:dyDescent="0.15">
      <c r="A620" s="18" t="s">
        <v>2765</v>
      </c>
      <c r="B620" s="18" t="s">
        <v>2766</v>
      </c>
    </row>
    <row r="621" spans="1:2" x14ac:dyDescent="0.15">
      <c r="A621" s="19" t="s">
        <v>2767</v>
      </c>
      <c r="B621" s="19" t="s">
        <v>2768</v>
      </c>
    </row>
    <row r="622" spans="1:2" x14ac:dyDescent="0.15">
      <c r="A622" s="18" t="s">
        <v>2769</v>
      </c>
      <c r="B622" s="18" t="s">
        <v>2770</v>
      </c>
    </row>
    <row r="623" spans="1:2" x14ac:dyDescent="0.15">
      <c r="A623" s="19" t="s">
        <v>2771</v>
      </c>
      <c r="B623" s="19" t="s">
        <v>2772</v>
      </c>
    </row>
    <row r="624" spans="1:2" x14ac:dyDescent="0.15">
      <c r="A624" s="18" t="s">
        <v>2773</v>
      </c>
      <c r="B624" s="18" t="s">
        <v>2774</v>
      </c>
    </row>
    <row r="625" spans="1:2" x14ac:dyDescent="0.15">
      <c r="A625" s="19" t="s">
        <v>2775</v>
      </c>
      <c r="B625" s="19" t="s">
        <v>2776</v>
      </c>
    </row>
    <row r="626" spans="1:2" x14ac:dyDescent="0.15">
      <c r="A626" s="18" t="s">
        <v>2777</v>
      </c>
      <c r="B626" s="18" t="s">
        <v>2778</v>
      </c>
    </row>
    <row r="627" spans="1:2" x14ac:dyDescent="0.15">
      <c r="A627" s="19" t="s">
        <v>2779</v>
      </c>
      <c r="B627" s="19" t="s">
        <v>2780</v>
      </c>
    </row>
    <row r="628" spans="1:2" x14ac:dyDescent="0.15">
      <c r="A628" s="18" t="s">
        <v>2781</v>
      </c>
      <c r="B628" s="18" t="s">
        <v>2782</v>
      </c>
    </row>
    <row r="629" spans="1:2" x14ac:dyDescent="0.15">
      <c r="A629" s="19" t="s">
        <v>2783</v>
      </c>
      <c r="B629" s="19" t="s">
        <v>2784</v>
      </c>
    </row>
    <row r="630" spans="1:2" x14ac:dyDescent="0.15">
      <c r="A630" s="18" t="s">
        <v>2785</v>
      </c>
      <c r="B630" s="18" t="s">
        <v>2786</v>
      </c>
    </row>
    <row r="631" spans="1:2" x14ac:dyDescent="0.15">
      <c r="A631" s="19" t="s">
        <v>2787</v>
      </c>
      <c r="B631" s="19" t="s">
        <v>2788</v>
      </c>
    </row>
    <row r="632" spans="1:2" x14ac:dyDescent="0.15">
      <c r="A632" s="18" t="s">
        <v>2789</v>
      </c>
      <c r="B632" s="18" t="s">
        <v>2790</v>
      </c>
    </row>
    <row r="633" spans="1:2" x14ac:dyDescent="0.15">
      <c r="A633" s="19" t="s">
        <v>2791</v>
      </c>
      <c r="B633" s="19" t="s">
        <v>2792</v>
      </c>
    </row>
    <row r="634" spans="1:2" x14ac:dyDescent="0.15">
      <c r="A634" s="18" t="s">
        <v>2793</v>
      </c>
      <c r="B634" s="18" t="s">
        <v>2794</v>
      </c>
    </row>
    <row r="635" spans="1:2" x14ac:dyDescent="0.15">
      <c r="A635" s="19" t="s">
        <v>2795</v>
      </c>
      <c r="B635" s="19" t="s">
        <v>2796</v>
      </c>
    </row>
    <row r="636" spans="1:2" x14ac:dyDescent="0.15">
      <c r="A636" s="18" t="s">
        <v>2797</v>
      </c>
      <c r="B636" s="18" t="s">
        <v>2798</v>
      </c>
    </row>
    <row r="637" spans="1:2" x14ac:dyDescent="0.15">
      <c r="A637" s="19" t="s">
        <v>2799</v>
      </c>
      <c r="B637" s="19" t="s">
        <v>2800</v>
      </c>
    </row>
    <row r="638" spans="1:2" x14ac:dyDescent="0.15">
      <c r="A638" s="18" t="s">
        <v>2801</v>
      </c>
      <c r="B638" s="18" t="s">
        <v>2802</v>
      </c>
    </row>
    <row r="639" spans="1:2" x14ac:dyDescent="0.15">
      <c r="A639" s="19" t="s">
        <v>2803</v>
      </c>
      <c r="B639" s="19" t="s">
        <v>2804</v>
      </c>
    </row>
    <row r="640" spans="1:2" x14ac:dyDescent="0.15">
      <c r="A640" s="18" t="s">
        <v>2805</v>
      </c>
      <c r="B640" s="18" t="s">
        <v>2806</v>
      </c>
    </row>
    <row r="641" spans="1:2" x14ac:dyDescent="0.15">
      <c r="A641" s="19" t="s">
        <v>2807</v>
      </c>
      <c r="B641" s="19" t="s">
        <v>2808</v>
      </c>
    </row>
    <row r="642" spans="1:2" x14ac:dyDescent="0.15">
      <c r="A642" s="18" t="s">
        <v>2809</v>
      </c>
      <c r="B642" s="18" t="s">
        <v>2810</v>
      </c>
    </row>
    <row r="643" spans="1:2" x14ac:dyDescent="0.15">
      <c r="A643" s="19" t="s">
        <v>2811</v>
      </c>
      <c r="B643" s="19" t="s">
        <v>2812</v>
      </c>
    </row>
    <row r="644" spans="1:2" x14ac:dyDescent="0.15">
      <c r="A644" s="18" t="s">
        <v>2813</v>
      </c>
      <c r="B644" s="18" t="s">
        <v>2814</v>
      </c>
    </row>
    <row r="645" spans="1:2" x14ac:dyDescent="0.15">
      <c r="A645" s="19" t="s">
        <v>2815</v>
      </c>
      <c r="B645" s="19" t="s">
        <v>2816</v>
      </c>
    </row>
    <row r="646" spans="1:2" x14ac:dyDescent="0.15">
      <c r="A646" s="18" t="s">
        <v>2817</v>
      </c>
      <c r="B646" s="18" t="s">
        <v>2818</v>
      </c>
    </row>
    <row r="647" spans="1:2" x14ac:dyDescent="0.15">
      <c r="A647" s="19" t="s">
        <v>2819</v>
      </c>
      <c r="B647" s="19" t="s">
        <v>2820</v>
      </c>
    </row>
    <row r="648" spans="1:2" x14ac:dyDescent="0.15">
      <c r="A648" s="18" t="s">
        <v>2821</v>
      </c>
      <c r="B648" s="18" t="s">
        <v>2822</v>
      </c>
    </row>
    <row r="649" spans="1:2" x14ac:dyDescent="0.15">
      <c r="A649" s="19" t="s">
        <v>2823</v>
      </c>
      <c r="B649" s="19" t="s">
        <v>2824</v>
      </c>
    </row>
    <row r="650" spans="1:2" x14ac:dyDescent="0.15">
      <c r="A650" s="18" t="s">
        <v>2825</v>
      </c>
      <c r="B650" s="18" t="s">
        <v>2826</v>
      </c>
    </row>
    <row r="651" spans="1:2" x14ac:dyDescent="0.15">
      <c r="A651" s="19" t="s">
        <v>2827</v>
      </c>
      <c r="B651" s="19" t="s">
        <v>2828</v>
      </c>
    </row>
    <row r="652" spans="1:2" x14ac:dyDescent="0.15">
      <c r="A652" s="18" t="s">
        <v>2829</v>
      </c>
      <c r="B652" s="18" t="s">
        <v>2830</v>
      </c>
    </row>
    <row r="653" spans="1:2" x14ac:dyDescent="0.15">
      <c r="A653" s="19" t="s">
        <v>2831</v>
      </c>
      <c r="B653" s="19" t="s">
        <v>2832</v>
      </c>
    </row>
    <row r="654" spans="1:2" x14ac:dyDescent="0.15">
      <c r="A654" s="18" t="s">
        <v>2833</v>
      </c>
      <c r="B654" s="18" t="s">
        <v>2834</v>
      </c>
    </row>
    <row r="655" spans="1:2" x14ac:dyDescent="0.15">
      <c r="A655" s="19" t="s">
        <v>2835</v>
      </c>
      <c r="B655" s="19" t="s">
        <v>2836</v>
      </c>
    </row>
    <row r="656" spans="1:2" x14ac:dyDescent="0.15">
      <c r="A656" s="18" t="s">
        <v>2837</v>
      </c>
      <c r="B656" s="18" t="s">
        <v>2838</v>
      </c>
    </row>
    <row r="657" spans="1:2" x14ac:dyDescent="0.15">
      <c r="A657" s="19" t="s">
        <v>2839</v>
      </c>
      <c r="B657" s="19" t="s">
        <v>2840</v>
      </c>
    </row>
    <row r="658" spans="1:2" x14ac:dyDescent="0.15">
      <c r="A658" s="18" t="s">
        <v>2841</v>
      </c>
      <c r="B658" s="18" t="s">
        <v>2842</v>
      </c>
    </row>
    <row r="659" spans="1:2" x14ac:dyDescent="0.15">
      <c r="A659" s="19" t="s">
        <v>2843</v>
      </c>
      <c r="B659" s="19" t="s">
        <v>2844</v>
      </c>
    </row>
    <row r="660" spans="1:2" x14ac:dyDescent="0.15">
      <c r="A660" s="18" t="s">
        <v>2845</v>
      </c>
      <c r="B660" s="18" t="s">
        <v>2846</v>
      </c>
    </row>
    <row r="661" spans="1:2" x14ac:dyDescent="0.15">
      <c r="A661" s="19" t="s">
        <v>2847</v>
      </c>
      <c r="B661" s="19" t="s">
        <v>2848</v>
      </c>
    </row>
    <row r="662" spans="1:2" x14ac:dyDescent="0.15">
      <c r="A662" s="18" t="s">
        <v>2849</v>
      </c>
      <c r="B662" s="18" t="s">
        <v>2850</v>
      </c>
    </row>
    <row r="663" spans="1:2" x14ac:dyDescent="0.15">
      <c r="A663" s="19" t="s">
        <v>2851</v>
      </c>
      <c r="B663" s="19" t="s">
        <v>2852</v>
      </c>
    </row>
    <row r="664" spans="1:2" x14ac:dyDescent="0.15">
      <c r="A664" s="18" t="s">
        <v>2853</v>
      </c>
      <c r="B664" s="18" t="s">
        <v>2854</v>
      </c>
    </row>
    <row r="665" spans="1:2" x14ac:dyDescent="0.15">
      <c r="A665" s="19" t="s">
        <v>2855</v>
      </c>
      <c r="B665" s="19" t="s">
        <v>2856</v>
      </c>
    </row>
    <row r="666" spans="1:2" x14ac:dyDescent="0.15">
      <c r="A666" s="18" t="s">
        <v>2857</v>
      </c>
      <c r="B666" s="18" t="s">
        <v>2858</v>
      </c>
    </row>
    <row r="667" spans="1:2" x14ac:dyDescent="0.15">
      <c r="A667" s="19" t="s">
        <v>2859</v>
      </c>
      <c r="B667" s="19" t="s">
        <v>2860</v>
      </c>
    </row>
    <row r="668" spans="1:2" x14ac:dyDescent="0.15">
      <c r="A668" s="18" t="s">
        <v>2861</v>
      </c>
      <c r="B668" s="18" t="s">
        <v>2862</v>
      </c>
    </row>
    <row r="669" spans="1:2" x14ac:dyDescent="0.15">
      <c r="A669" s="19" t="s">
        <v>2863</v>
      </c>
      <c r="B669" s="19" t="s">
        <v>2864</v>
      </c>
    </row>
    <row r="670" spans="1:2" x14ac:dyDescent="0.15">
      <c r="A670" s="18" t="s">
        <v>2865</v>
      </c>
      <c r="B670" s="18" t="s">
        <v>2866</v>
      </c>
    </row>
    <row r="671" spans="1:2" x14ac:dyDescent="0.15">
      <c r="A671" s="19" t="s">
        <v>2867</v>
      </c>
      <c r="B671" s="19" t="s">
        <v>2868</v>
      </c>
    </row>
    <row r="672" spans="1:2" x14ac:dyDescent="0.15">
      <c r="A672" s="18" t="s">
        <v>2869</v>
      </c>
      <c r="B672" s="18" t="s">
        <v>2870</v>
      </c>
    </row>
    <row r="673" spans="1:2" x14ac:dyDescent="0.15">
      <c r="A673" s="19" t="s">
        <v>2871</v>
      </c>
      <c r="B673" s="19" t="s">
        <v>2872</v>
      </c>
    </row>
    <row r="674" spans="1:2" x14ac:dyDescent="0.15">
      <c r="A674" s="18" t="s">
        <v>2873</v>
      </c>
      <c r="B674" s="18" t="s">
        <v>2874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70"/>
  <sheetViews>
    <sheetView workbookViewId="0">
      <selection activeCell="B26" sqref="B26"/>
    </sheetView>
  </sheetViews>
  <sheetFormatPr defaultRowHeight="13.5" x14ac:dyDescent="0.15"/>
  <cols>
    <col min="1" max="1" width="76.875" bestFit="1" customWidth="1"/>
    <col min="2" max="2" width="72.5" bestFit="1" customWidth="1"/>
  </cols>
  <sheetData>
    <row r="1" spans="1:2" x14ac:dyDescent="0.15">
      <c r="A1" s="12" t="s">
        <v>354</v>
      </c>
      <c r="B1" s="13" t="s">
        <v>356</v>
      </c>
    </row>
    <row r="2" spans="1:2" x14ac:dyDescent="0.15">
      <c r="A2" s="14" t="s">
        <v>675</v>
      </c>
      <c r="B2" s="15" t="s">
        <v>384</v>
      </c>
    </row>
    <row r="3" spans="1:2" x14ac:dyDescent="0.15">
      <c r="A3" s="16" t="s">
        <v>676</v>
      </c>
      <c r="B3" s="17" t="s">
        <v>385</v>
      </c>
    </row>
    <row r="4" spans="1:2" x14ac:dyDescent="0.15">
      <c r="A4" s="14" t="s">
        <v>677</v>
      </c>
      <c r="B4" s="15" t="s">
        <v>386</v>
      </c>
    </row>
    <row r="5" spans="1:2" x14ac:dyDescent="0.15">
      <c r="A5" s="16" t="s">
        <v>679</v>
      </c>
      <c r="B5" s="17" t="s">
        <v>1374</v>
      </c>
    </row>
    <row r="6" spans="1:2" x14ac:dyDescent="0.15">
      <c r="A6" s="14" t="s">
        <v>680</v>
      </c>
      <c r="B6" s="15" t="s">
        <v>388</v>
      </c>
    </row>
    <row r="7" spans="1:2" x14ac:dyDescent="0.15">
      <c r="A7" s="16" t="s">
        <v>681</v>
      </c>
      <c r="B7" s="17" t="s">
        <v>389</v>
      </c>
    </row>
    <row r="8" spans="1:2" x14ac:dyDescent="0.15">
      <c r="A8" s="14" t="s">
        <v>682</v>
      </c>
      <c r="B8" s="15" t="s">
        <v>390</v>
      </c>
    </row>
    <row r="9" spans="1:2" x14ac:dyDescent="0.15">
      <c r="A9" s="16" t="s">
        <v>683</v>
      </c>
      <c r="B9" s="17" t="s">
        <v>391</v>
      </c>
    </row>
    <row r="10" spans="1:2" x14ac:dyDescent="0.15">
      <c r="A10" s="14" t="s">
        <v>684</v>
      </c>
      <c r="B10" s="15" t="s">
        <v>392</v>
      </c>
    </row>
    <row r="11" spans="1:2" x14ac:dyDescent="0.15">
      <c r="A11" s="16" t="s">
        <v>685</v>
      </c>
      <c r="B11" s="17" t="s">
        <v>393</v>
      </c>
    </row>
    <row r="12" spans="1:2" x14ac:dyDescent="0.15">
      <c r="A12" s="14" t="s">
        <v>265</v>
      </c>
      <c r="B12" s="15" t="s">
        <v>135</v>
      </c>
    </row>
    <row r="13" spans="1:2" x14ac:dyDescent="0.15">
      <c r="A13" s="16" t="s">
        <v>678</v>
      </c>
      <c r="B13" s="17" t="s">
        <v>387</v>
      </c>
    </row>
    <row r="14" spans="1:2" x14ac:dyDescent="0.15">
      <c r="A14" s="14" t="s">
        <v>266</v>
      </c>
      <c r="B14" s="15" t="s">
        <v>3</v>
      </c>
    </row>
    <row r="15" spans="1:2" x14ac:dyDescent="0.15">
      <c r="A15" s="16" t="s">
        <v>686</v>
      </c>
      <c r="B15" s="17" t="s">
        <v>394</v>
      </c>
    </row>
    <row r="16" spans="1:2" x14ac:dyDescent="0.15">
      <c r="A16" s="14" t="s">
        <v>267</v>
      </c>
      <c r="B16" s="15" t="s">
        <v>136</v>
      </c>
    </row>
    <row r="17" spans="1:2" x14ac:dyDescent="0.15">
      <c r="A17" s="16" t="s">
        <v>268</v>
      </c>
      <c r="B17" s="17" t="s">
        <v>137</v>
      </c>
    </row>
    <row r="18" spans="1:2" x14ac:dyDescent="0.15">
      <c r="A18" s="14" t="s">
        <v>687</v>
      </c>
      <c r="B18" s="15" t="s">
        <v>395</v>
      </c>
    </row>
    <row r="19" spans="1:2" x14ac:dyDescent="0.15">
      <c r="A19" s="16" t="s">
        <v>688</v>
      </c>
      <c r="B19" s="17" t="s">
        <v>396</v>
      </c>
    </row>
    <row r="20" spans="1:2" x14ac:dyDescent="0.15">
      <c r="A20" s="14" t="s">
        <v>269</v>
      </c>
      <c r="B20" s="15" t="s">
        <v>138</v>
      </c>
    </row>
    <row r="21" spans="1:2" x14ac:dyDescent="0.15">
      <c r="A21" s="16" t="s">
        <v>689</v>
      </c>
      <c r="B21" s="17" t="s">
        <v>397</v>
      </c>
    </row>
    <row r="22" spans="1:2" x14ac:dyDescent="0.15">
      <c r="A22" s="14" t="s">
        <v>270</v>
      </c>
      <c r="B22" s="15" t="s">
        <v>139</v>
      </c>
    </row>
    <row r="23" spans="1:2" x14ac:dyDescent="0.15">
      <c r="A23" s="16" t="s">
        <v>690</v>
      </c>
      <c r="B23" s="17" t="s">
        <v>398</v>
      </c>
    </row>
    <row r="24" spans="1:2" x14ac:dyDescent="0.15">
      <c r="A24" s="14" t="s">
        <v>271</v>
      </c>
      <c r="B24" s="15" t="s">
        <v>399</v>
      </c>
    </row>
    <row r="25" spans="1:2" x14ac:dyDescent="0.15">
      <c r="A25" s="16" t="s">
        <v>691</v>
      </c>
      <c r="B25" s="17" t="s">
        <v>400</v>
      </c>
    </row>
    <row r="26" spans="1:2" x14ac:dyDescent="0.15">
      <c r="A26" s="14" t="s">
        <v>272</v>
      </c>
      <c r="B26" s="15" t="s">
        <v>140</v>
      </c>
    </row>
    <row r="27" spans="1:2" x14ac:dyDescent="0.15">
      <c r="A27" s="16" t="s">
        <v>692</v>
      </c>
      <c r="B27" s="17" t="s">
        <v>401</v>
      </c>
    </row>
    <row r="28" spans="1:2" x14ac:dyDescent="0.15">
      <c r="A28" s="14" t="s">
        <v>693</v>
      </c>
      <c r="B28" s="15" t="s">
        <v>402</v>
      </c>
    </row>
    <row r="29" spans="1:2" x14ac:dyDescent="0.15">
      <c r="A29" s="16" t="s">
        <v>273</v>
      </c>
      <c r="B29" s="17" t="s">
        <v>403</v>
      </c>
    </row>
    <row r="30" spans="1:2" x14ac:dyDescent="0.15">
      <c r="A30" s="14" t="s">
        <v>980</v>
      </c>
      <c r="B30" s="15" t="s">
        <v>404</v>
      </c>
    </row>
    <row r="31" spans="1:2" x14ac:dyDescent="0.15">
      <c r="A31" s="16" t="s">
        <v>694</v>
      </c>
      <c r="B31" s="17" t="s">
        <v>405</v>
      </c>
    </row>
    <row r="32" spans="1:2" x14ac:dyDescent="0.15">
      <c r="A32" s="14" t="s">
        <v>695</v>
      </c>
      <c r="B32" s="15" t="s">
        <v>406</v>
      </c>
    </row>
    <row r="33" spans="1:2" x14ac:dyDescent="0.15">
      <c r="A33" s="16" t="s">
        <v>981</v>
      </c>
      <c r="B33" s="17" t="s">
        <v>407</v>
      </c>
    </row>
    <row r="34" spans="1:2" x14ac:dyDescent="0.15">
      <c r="A34" s="14" t="s">
        <v>696</v>
      </c>
      <c r="B34" s="15" t="s">
        <v>408</v>
      </c>
    </row>
    <row r="35" spans="1:2" x14ac:dyDescent="0.15">
      <c r="A35" s="16" t="s">
        <v>697</v>
      </c>
      <c r="B35" s="17" t="s">
        <v>409</v>
      </c>
    </row>
    <row r="36" spans="1:2" x14ac:dyDescent="0.15">
      <c r="A36" s="14" t="s">
        <v>698</v>
      </c>
      <c r="B36" s="15" t="s">
        <v>410</v>
      </c>
    </row>
    <row r="37" spans="1:2" x14ac:dyDescent="0.15">
      <c r="A37" s="16" t="s">
        <v>699</v>
      </c>
      <c r="B37" s="17" t="s">
        <v>411</v>
      </c>
    </row>
    <row r="38" spans="1:2" x14ac:dyDescent="0.15">
      <c r="A38" s="14" t="s">
        <v>700</v>
      </c>
      <c r="B38" s="15" t="s">
        <v>412</v>
      </c>
    </row>
    <row r="39" spans="1:2" x14ac:dyDescent="0.15">
      <c r="A39" s="16" t="s">
        <v>701</v>
      </c>
      <c r="B39" s="17" t="s">
        <v>413</v>
      </c>
    </row>
    <row r="40" spans="1:2" x14ac:dyDescent="0.15">
      <c r="A40" s="14" t="s">
        <v>702</v>
      </c>
      <c r="B40" s="15" t="s">
        <v>414</v>
      </c>
    </row>
    <row r="41" spans="1:2" x14ac:dyDescent="0.15">
      <c r="A41" s="16" t="s">
        <v>703</v>
      </c>
      <c r="B41" s="17" t="s">
        <v>415</v>
      </c>
    </row>
    <row r="42" spans="1:2" x14ac:dyDescent="0.15">
      <c r="A42" s="14" t="s">
        <v>704</v>
      </c>
      <c r="B42" s="15" t="s">
        <v>416</v>
      </c>
    </row>
    <row r="43" spans="1:2" x14ac:dyDescent="0.15">
      <c r="A43" s="16" t="s">
        <v>705</v>
      </c>
      <c r="B43" s="17" t="s">
        <v>417</v>
      </c>
    </row>
    <row r="44" spans="1:2" x14ac:dyDescent="0.15">
      <c r="A44" s="14" t="s">
        <v>706</v>
      </c>
      <c r="B44" s="15" t="s">
        <v>141</v>
      </c>
    </row>
    <row r="45" spans="1:2" x14ac:dyDescent="0.15">
      <c r="A45" s="16" t="s">
        <v>707</v>
      </c>
      <c r="B45" s="17" t="s">
        <v>418</v>
      </c>
    </row>
    <row r="46" spans="1:2" x14ac:dyDescent="0.15">
      <c r="A46" s="14" t="s">
        <v>708</v>
      </c>
      <c r="B46" s="15" t="s">
        <v>419</v>
      </c>
    </row>
    <row r="47" spans="1:2" x14ac:dyDescent="0.15">
      <c r="A47" s="16" t="s">
        <v>709</v>
      </c>
      <c r="B47" s="17" t="s">
        <v>420</v>
      </c>
    </row>
    <row r="48" spans="1:2" x14ac:dyDescent="0.15">
      <c r="A48" s="14" t="s">
        <v>710</v>
      </c>
      <c r="B48" s="15" t="s">
        <v>421</v>
      </c>
    </row>
    <row r="49" spans="1:2" x14ac:dyDescent="0.15">
      <c r="A49" s="16" t="s">
        <v>711</v>
      </c>
      <c r="B49" s="17" t="s">
        <v>422</v>
      </c>
    </row>
    <row r="50" spans="1:2" x14ac:dyDescent="0.15">
      <c r="A50" s="14" t="s">
        <v>1045</v>
      </c>
      <c r="B50" s="15" t="s">
        <v>423</v>
      </c>
    </row>
    <row r="51" spans="1:2" x14ac:dyDescent="0.15">
      <c r="A51" s="16" t="s">
        <v>712</v>
      </c>
      <c r="B51" s="17" t="s">
        <v>424</v>
      </c>
    </row>
    <row r="52" spans="1:2" x14ac:dyDescent="0.15">
      <c r="A52" s="14" t="s">
        <v>713</v>
      </c>
      <c r="B52" s="15" t="s">
        <v>425</v>
      </c>
    </row>
    <row r="53" spans="1:2" x14ac:dyDescent="0.15">
      <c r="A53" s="16" t="s">
        <v>714</v>
      </c>
      <c r="B53" s="17" t="s">
        <v>426</v>
      </c>
    </row>
    <row r="54" spans="1:2" x14ac:dyDescent="0.15">
      <c r="A54" s="14" t="s">
        <v>715</v>
      </c>
      <c r="B54" s="15" t="s">
        <v>427</v>
      </c>
    </row>
    <row r="55" spans="1:2" x14ac:dyDescent="0.15">
      <c r="A55" s="16" t="s">
        <v>716</v>
      </c>
      <c r="B55" s="17" t="s">
        <v>428</v>
      </c>
    </row>
    <row r="56" spans="1:2" x14ac:dyDescent="0.15">
      <c r="A56" s="14" t="s">
        <v>717</v>
      </c>
      <c r="B56" s="15" t="s">
        <v>429</v>
      </c>
    </row>
    <row r="57" spans="1:2" x14ac:dyDescent="0.15">
      <c r="A57" s="16" t="s">
        <v>718</v>
      </c>
      <c r="B57" s="17" t="s">
        <v>430</v>
      </c>
    </row>
    <row r="58" spans="1:2" x14ac:dyDescent="0.15">
      <c r="A58" s="14" t="s">
        <v>719</v>
      </c>
      <c r="B58" s="15" t="s">
        <v>431</v>
      </c>
    </row>
    <row r="59" spans="1:2" x14ac:dyDescent="0.15">
      <c r="A59" s="16" t="s">
        <v>720</v>
      </c>
      <c r="B59" s="17" t="s">
        <v>432</v>
      </c>
    </row>
    <row r="60" spans="1:2" x14ac:dyDescent="0.15">
      <c r="A60" s="14" t="s">
        <v>721</v>
      </c>
      <c r="B60" s="15" t="s">
        <v>433</v>
      </c>
    </row>
    <row r="61" spans="1:2" x14ac:dyDescent="0.15">
      <c r="A61" s="16" t="s">
        <v>722</v>
      </c>
      <c r="B61" s="17" t="s">
        <v>434</v>
      </c>
    </row>
    <row r="62" spans="1:2" x14ac:dyDescent="0.15">
      <c r="A62" s="14" t="s">
        <v>723</v>
      </c>
      <c r="B62" s="15" t="s">
        <v>435</v>
      </c>
    </row>
    <row r="63" spans="1:2" x14ac:dyDescent="0.15">
      <c r="A63" s="16" t="s">
        <v>724</v>
      </c>
      <c r="B63" s="17" t="s">
        <v>436</v>
      </c>
    </row>
    <row r="64" spans="1:2" x14ac:dyDescent="0.15">
      <c r="A64" s="14" t="s">
        <v>725</v>
      </c>
      <c r="B64" s="15" t="s">
        <v>437</v>
      </c>
    </row>
    <row r="65" spans="1:2" x14ac:dyDescent="0.15">
      <c r="A65" s="16" t="s">
        <v>726</v>
      </c>
      <c r="B65" s="17" t="s">
        <v>438</v>
      </c>
    </row>
    <row r="66" spans="1:2" x14ac:dyDescent="0.15">
      <c r="A66" s="14" t="s">
        <v>727</v>
      </c>
      <c r="B66" s="15" t="s">
        <v>439</v>
      </c>
    </row>
    <row r="67" spans="1:2" x14ac:dyDescent="0.15">
      <c r="A67" s="16" t="s">
        <v>728</v>
      </c>
      <c r="B67" s="17" t="s">
        <v>440</v>
      </c>
    </row>
    <row r="68" spans="1:2" x14ac:dyDescent="0.15">
      <c r="A68" s="14" t="s">
        <v>729</v>
      </c>
      <c r="B68" s="15" t="s">
        <v>441</v>
      </c>
    </row>
    <row r="69" spans="1:2" x14ac:dyDescent="0.15">
      <c r="A69" s="16" t="s">
        <v>730</v>
      </c>
      <c r="B69" s="17" t="s">
        <v>442</v>
      </c>
    </row>
    <row r="70" spans="1:2" x14ac:dyDescent="0.15">
      <c r="A70" s="14" t="s">
        <v>731</v>
      </c>
      <c r="B70" s="15" t="s">
        <v>443</v>
      </c>
    </row>
    <row r="71" spans="1:2" x14ac:dyDescent="0.15">
      <c r="A71" s="16" t="s">
        <v>732</v>
      </c>
      <c r="B71" s="17" t="s">
        <v>444</v>
      </c>
    </row>
    <row r="72" spans="1:2" x14ac:dyDescent="0.15">
      <c r="A72" s="14" t="s">
        <v>733</v>
      </c>
      <c r="B72" s="15" t="s">
        <v>445</v>
      </c>
    </row>
    <row r="73" spans="1:2" x14ac:dyDescent="0.15">
      <c r="A73" s="16" t="s">
        <v>734</v>
      </c>
      <c r="B73" s="17" t="s">
        <v>446</v>
      </c>
    </row>
    <row r="74" spans="1:2" x14ac:dyDescent="0.15">
      <c r="A74" s="14" t="s">
        <v>735</v>
      </c>
      <c r="B74" s="15" t="s">
        <v>447</v>
      </c>
    </row>
    <row r="75" spans="1:2" x14ac:dyDescent="0.15">
      <c r="A75" s="16" t="s">
        <v>736</v>
      </c>
      <c r="B75" s="17" t="s">
        <v>448</v>
      </c>
    </row>
    <row r="76" spans="1:2" x14ac:dyDescent="0.15">
      <c r="A76" s="14" t="s">
        <v>737</v>
      </c>
      <c r="B76" s="15" t="s">
        <v>449</v>
      </c>
    </row>
    <row r="77" spans="1:2" x14ac:dyDescent="0.15">
      <c r="A77" s="16" t="s">
        <v>738</v>
      </c>
      <c r="B77" s="17" t="s">
        <v>450</v>
      </c>
    </row>
    <row r="78" spans="1:2" x14ac:dyDescent="0.15">
      <c r="A78" s="14" t="s">
        <v>739</v>
      </c>
      <c r="B78" s="15" t="s">
        <v>451</v>
      </c>
    </row>
    <row r="79" spans="1:2" x14ac:dyDescent="0.15">
      <c r="A79" s="16" t="s">
        <v>740</v>
      </c>
      <c r="B79" s="17" t="s">
        <v>452</v>
      </c>
    </row>
    <row r="80" spans="1:2" x14ac:dyDescent="0.15">
      <c r="A80" s="14" t="s">
        <v>741</v>
      </c>
      <c r="B80" s="15" t="s">
        <v>453</v>
      </c>
    </row>
    <row r="81" spans="1:2" x14ac:dyDescent="0.15">
      <c r="A81" s="16" t="s">
        <v>742</v>
      </c>
      <c r="B81" s="17" t="s">
        <v>454</v>
      </c>
    </row>
    <row r="82" spans="1:2" x14ac:dyDescent="0.15">
      <c r="A82" s="14" t="s">
        <v>743</v>
      </c>
      <c r="B82" s="15" t="s">
        <v>455</v>
      </c>
    </row>
    <row r="83" spans="1:2" x14ac:dyDescent="0.15">
      <c r="A83" s="16" t="s">
        <v>744</v>
      </c>
      <c r="B83" s="17" t="s">
        <v>456</v>
      </c>
    </row>
    <row r="84" spans="1:2" x14ac:dyDescent="0.15">
      <c r="A84" s="14" t="s">
        <v>745</v>
      </c>
      <c r="B84" s="15" t="s">
        <v>457</v>
      </c>
    </row>
    <row r="85" spans="1:2" x14ac:dyDescent="0.15">
      <c r="A85" s="16" t="s">
        <v>746</v>
      </c>
      <c r="B85" s="17" t="s">
        <v>458</v>
      </c>
    </row>
    <row r="86" spans="1:2" x14ac:dyDescent="0.15">
      <c r="A86" s="14" t="s">
        <v>747</v>
      </c>
      <c r="B86" s="15" t="s">
        <v>459</v>
      </c>
    </row>
    <row r="87" spans="1:2" x14ac:dyDescent="0.15">
      <c r="A87" s="16" t="s">
        <v>748</v>
      </c>
      <c r="B87" s="17" t="s">
        <v>460</v>
      </c>
    </row>
    <row r="88" spans="1:2" x14ac:dyDescent="0.15">
      <c r="A88" s="14" t="s">
        <v>749</v>
      </c>
      <c r="B88" s="15" t="s">
        <v>461</v>
      </c>
    </row>
    <row r="89" spans="1:2" x14ac:dyDescent="0.15">
      <c r="A89" s="16" t="s">
        <v>750</v>
      </c>
      <c r="B89" s="17" t="s">
        <v>462</v>
      </c>
    </row>
    <row r="90" spans="1:2" x14ac:dyDescent="0.15">
      <c r="A90" s="14" t="s">
        <v>751</v>
      </c>
      <c r="B90" s="15" t="s">
        <v>463</v>
      </c>
    </row>
    <row r="91" spans="1:2" x14ac:dyDescent="0.15">
      <c r="A91" s="16" t="s">
        <v>752</v>
      </c>
      <c r="B91" s="17" t="s">
        <v>464</v>
      </c>
    </row>
    <row r="92" spans="1:2" x14ac:dyDescent="0.15">
      <c r="A92" s="14" t="s">
        <v>753</v>
      </c>
      <c r="B92" s="15" t="s">
        <v>465</v>
      </c>
    </row>
    <row r="93" spans="1:2" x14ac:dyDescent="0.15">
      <c r="A93" s="16" t="s">
        <v>754</v>
      </c>
      <c r="B93" s="17" t="s">
        <v>466</v>
      </c>
    </row>
    <row r="94" spans="1:2" x14ac:dyDescent="0.15">
      <c r="A94" s="14" t="s">
        <v>755</v>
      </c>
      <c r="B94" s="15" t="s">
        <v>467</v>
      </c>
    </row>
    <row r="95" spans="1:2" x14ac:dyDescent="0.15">
      <c r="A95" s="16" t="s">
        <v>756</v>
      </c>
      <c r="B95" s="17" t="s">
        <v>468</v>
      </c>
    </row>
    <row r="96" spans="1:2" x14ac:dyDescent="0.15">
      <c r="A96" s="14" t="s">
        <v>318</v>
      </c>
      <c r="B96" s="15" t="s">
        <v>327</v>
      </c>
    </row>
    <row r="97" spans="1:2" x14ac:dyDescent="0.15">
      <c r="A97" s="16" t="s">
        <v>1046</v>
      </c>
      <c r="B97" s="17" t="s">
        <v>1210</v>
      </c>
    </row>
    <row r="98" spans="1:2" x14ac:dyDescent="0.15">
      <c r="A98" s="14" t="s">
        <v>1047</v>
      </c>
      <c r="B98" s="15" t="s">
        <v>1211</v>
      </c>
    </row>
    <row r="99" spans="1:2" x14ac:dyDescent="0.15">
      <c r="A99" s="16" t="s">
        <v>1048</v>
      </c>
      <c r="B99" s="17" t="s">
        <v>1212</v>
      </c>
    </row>
    <row r="100" spans="1:2" x14ac:dyDescent="0.15">
      <c r="A100" s="14" t="s">
        <v>1049</v>
      </c>
      <c r="B100" s="15" t="s">
        <v>1213</v>
      </c>
    </row>
    <row r="101" spans="1:2" x14ac:dyDescent="0.15">
      <c r="A101" s="16" t="s">
        <v>1050</v>
      </c>
      <c r="B101" s="17" t="s">
        <v>1214</v>
      </c>
    </row>
    <row r="102" spans="1:2" x14ac:dyDescent="0.15">
      <c r="A102" s="14" t="s">
        <v>1051</v>
      </c>
      <c r="B102" s="15" t="s">
        <v>1215</v>
      </c>
    </row>
    <row r="103" spans="1:2" x14ac:dyDescent="0.15">
      <c r="A103" s="16" t="s">
        <v>1052</v>
      </c>
      <c r="B103" s="17" t="s">
        <v>1216</v>
      </c>
    </row>
    <row r="104" spans="1:2" x14ac:dyDescent="0.15">
      <c r="A104" s="14" t="s">
        <v>1053</v>
      </c>
      <c r="B104" s="15" t="s">
        <v>1217</v>
      </c>
    </row>
    <row r="105" spans="1:2" x14ac:dyDescent="0.15">
      <c r="A105" s="16" t="s">
        <v>320</v>
      </c>
      <c r="B105" s="17" t="s">
        <v>469</v>
      </c>
    </row>
    <row r="106" spans="1:2" x14ac:dyDescent="0.15">
      <c r="A106" s="14" t="s">
        <v>757</v>
      </c>
      <c r="B106" s="15" t="s">
        <v>470</v>
      </c>
    </row>
    <row r="107" spans="1:2" x14ac:dyDescent="0.15">
      <c r="A107" s="16" t="s">
        <v>758</v>
      </c>
      <c r="B107" s="17" t="s">
        <v>471</v>
      </c>
    </row>
    <row r="108" spans="1:2" x14ac:dyDescent="0.15">
      <c r="A108" s="14" t="s">
        <v>759</v>
      </c>
      <c r="B108" s="15" t="s">
        <v>472</v>
      </c>
    </row>
    <row r="109" spans="1:2" x14ac:dyDescent="0.15">
      <c r="A109" s="16" t="s">
        <v>760</v>
      </c>
      <c r="B109" s="17" t="s">
        <v>473</v>
      </c>
    </row>
    <row r="110" spans="1:2" x14ac:dyDescent="0.15">
      <c r="A110" s="14" t="s">
        <v>321</v>
      </c>
      <c r="B110" s="15" t="s">
        <v>474</v>
      </c>
    </row>
    <row r="111" spans="1:2" x14ac:dyDescent="0.15">
      <c r="A111" s="16" t="s">
        <v>761</v>
      </c>
      <c r="B111" s="17" t="s">
        <v>475</v>
      </c>
    </row>
    <row r="112" spans="1:2" x14ac:dyDescent="0.15">
      <c r="A112" s="14" t="s">
        <v>322</v>
      </c>
      <c r="B112" s="15" t="s">
        <v>476</v>
      </c>
    </row>
    <row r="113" spans="1:2" x14ac:dyDescent="0.15">
      <c r="A113" s="16" t="s">
        <v>762</v>
      </c>
      <c r="B113" s="17" t="s">
        <v>477</v>
      </c>
    </row>
    <row r="114" spans="1:2" x14ac:dyDescent="0.15">
      <c r="A114" s="14" t="s">
        <v>763</v>
      </c>
      <c r="B114" s="15" t="s">
        <v>478</v>
      </c>
    </row>
    <row r="115" spans="1:2" x14ac:dyDescent="0.15">
      <c r="A115" s="16" t="s">
        <v>323</v>
      </c>
      <c r="B115" s="17" t="s">
        <v>479</v>
      </c>
    </row>
    <row r="116" spans="1:2" x14ac:dyDescent="0.15">
      <c r="A116" s="14" t="s">
        <v>324</v>
      </c>
      <c r="B116" s="15" t="s">
        <v>480</v>
      </c>
    </row>
    <row r="117" spans="1:2" x14ac:dyDescent="0.15">
      <c r="A117" s="16" t="s">
        <v>764</v>
      </c>
      <c r="B117" s="17" t="s">
        <v>481</v>
      </c>
    </row>
    <row r="118" spans="1:2" x14ac:dyDescent="0.15">
      <c r="A118" s="14" t="s">
        <v>765</v>
      </c>
      <c r="B118" s="15" t="s">
        <v>482</v>
      </c>
    </row>
    <row r="119" spans="1:2" x14ac:dyDescent="0.15">
      <c r="A119" s="16" t="s">
        <v>325</v>
      </c>
      <c r="B119" s="17" t="s">
        <v>483</v>
      </c>
    </row>
    <row r="120" spans="1:2" x14ac:dyDescent="0.15">
      <c r="A120" s="14" t="s">
        <v>319</v>
      </c>
      <c r="B120" s="15" t="s">
        <v>484</v>
      </c>
    </row>
    <row r="121" spans="1:2" x14ac:dyDescent="0.15">
      <c r="A121" s="16" t="s">
        <v>326</v>
      </c>
      <c r="B121" s="17" t="s">
        <v>485</v>
      </c>
    </row>
    <row r="122" spans="1:2" x14ac:dyDescent="0.15">
      <c r="A122" s="14" t="s">
        <v>766</v>
      </c>
      <c r="B122" s="15" t="s">
        <v>486</v>
      </c>
    </row>
    <row r="123" spans="1:2" x14ac:dyDescent="0.15">
      <c r="A123" s="16" t="s">
        <v>308</v>
      </c>
      <c r="B123" s="17" t="s">
        <v>309</v>
      </c>
    </row>
    <row r="124" spans="1:2" x14ac:dyDescent="0.15">
      <c r="A124" s="14" t="s">
        <v>1054</v>
      </c>
      <c r="B124" s="15" t="s">
        <v>1218</v>
      </c>
    </row>
    <row r="125" spans="1:2" x14ac:dyDescent="0.15">
      <c r="A125" s="16" t="s">
        <v>1055</v>
      </c>
      <c r="B125" s="17" t="s">
        <v>1219</v>
      </c>
    </row>
    <row r="126" spans="1:2" x14ac:dyDescent="0.15">
      <c r="A126" s="14" t="s">
        <v>1056</v>
      </c>
      <c r="B126" s="15" t="s">
        <v>1220</v>
      </c>
    </row>
    <row r="127" spans="1:2" x14ac:dyDescent="0.15">
      <c r="A127" s="16" t="s">
        <v>1057</v>
      </c>
      <c r="B127" s="17" t="s">
        <v>1221</v>
      </c>
    </row>
    <row r="128" spans="1:2" x14ac:dyDescent="0.15">
      <c r="A128" s="14" t="s">
        <v>1058</v>
      </c>
      <c r="B128" s="15" t="s">
        <v>1222</v>
      </c>
    </row>
    <row r="129" spans="1:2" x14ac:dyDescent="0.15">
      <c r="A129" s="16" t="s">
        <v>1059</v>
      </c>
      <c r="B129" s="17" t="s">
        <v>1223</v>
      </c>
    </row>
    <row r="130" spans="1:2" x14ac:dyDescent="0.15">
      <c r="A130" s="14" t="s">
        <v>1060</v>
      </c>
      <c r="B130" s="15" t="s">
        <v>1224</v>
      </c>
    </row>
    <row r="131" spans="1:2" x14ac:dyDescent="0.15">
      <c r="A131" s="16" t="s">
        <v>1061</v>
      </c>
      <c r="B131" s="17" t="s">
        <v>1225</v>
      </c>
    </row>
    <row r="132" spans="1:2" x14ac:dyDescent="0.15">
      <c r="A132" s="14" t="s">
        <v>311</v>
      </c>
      <c r="B132" s="15" t="s">
        <v>487</v>
      </c>
    </row>
    <row r="133" spans="1:2" x14ac:dyDescent="0.15">
      <c r="A133" s="16" t="s">
        <v>767</v>
      </c>
      <c r="B133" s="17" t="s">
        <v>488</v>
      </c>
    </row>
    <row r="134" spans="1:2" x14ac:dyDescent="0.15">
      <c r="A134" s="14" t="s">
        <v>768</v>
      </c>
      <c r="B134" s="15" t="s">
        <v>489</v>
      </c>
    </row>
    <row r="135" spans="1:2" x14ac:dyDescent="0.15">
      <c r="A135" s="16" t="s">
        <v>769</v>
      </c>
      <c r="B135" s="17" t="s">
        <v>490</v>
      </c>
    </row>
    <row r="136" spans="1:2" x14ac:dyDescent="0.15">
      <c r="A136" s="14" t="s">
        <v>770</v>
      </c>
      <c r="B136" s="15" t="s">
        <v>491</v>
      </c>
    </row>
    <row r="137" spans="1:2" x14ac:dyDescent="0.15">
      <c r="A137" s="16" t="s">
        <v>312</v>
      </c>
      <c r="B137" s="17" t="s">
        <v>492</v>
      </c>
    </row>
    <row r="138" spans="1:2" x14ac:dyDescent="0.15">
      <c r="A138" s="14" t="s">
        <v>771</v>
      </c>
      <c r="B138" s="15" t="s">
        <v>493</v>
      </c>
    </row>
    <row r="139" spans="1:2" x14ac:dyDescent="0.15">
      <c r="A139" s="16" t="s">
        <v>313</v>
      </c>
      <c r="B139" s="17" t="s">
        <v>494</v>
      </c>
    </row>
    <row r="140" spans="1:2" x14ac:dyDescent="0.15">
      <c r="A140" s="14" t="s">
        <v>772</v>
      </c>
      <c r="B140" s="15" t="s">
        <v>495</v>
      </c>
    </row>
    <row r="141" spans="1:2" x14ac:dyDescent="0.15">
      <c r="A141" s="16" t="s">
        <v>773</v>
      </c>
      <c r="B141" s="17" t="s">
        <v>496</v>
      </c>
    </row>
    <row r="142" spans="1:2" x14ac:dyDescent="0.15">
      <c r="A142" s="14" t="s">
        <v>314</v>
      </c>
      <c r="B142" s="15" t="s">
        <v>497</v>
      </c>
    </row>
    <row r="143" spans="1:2" x14ac:dyDescent="0.15">
      <c r="A143" s="16" t="s">
        <v>315</v>
      </c>
      <c r="B143" s="17" t="s">
        <v>498</v>
      </c>
    </row>
    <row r="144" spans="1:2" x14ac:dyDescent="0.15">
      <c r="A144" s="14" t="s">
        <v>774</v>
      </c>
      <c r="B144" s="15" t="s">
        <v>499</v>
      </c>
    </row>
    <row r="145" spans="1:2" x14ac:dyDescent="0.15">
      <c r="A145" s="16" t="s">
        <v>775</v>
      </c>
      <c r="B145" s="17" t="s">
        <v>500</v>
      </c>
    </row>
    <row r="146" spans="1:2" x14ac:dyDescent="0.15">
      <c r="A146" s="14" t="s">
        <v>316</v>
      </c>
      <c r="B146" s="15" t="s">
        <v>501</v>
      </c>
    </row>
    <row r="147" spans="1:2" x14ac:dyDescent="0.15">
      <c r="A147" s="16" t="s">
        <v>310</v>
      </c>
      <c r="B147" s="17" t="s">
        <v>502</v>
      </c>
    </row>
    <row r="148" spans="1:2" x14ac:dyDescent="0.15">
      <c r="A148" s="14" t="s">
        <v>317</v>
      </c>
      <c r="B148" s="15" t="s">
        <v>503</v>
      </c>
    </row>
    <row r="149" spans="1:2" x14ac:dyDescent="0.15">
      <c r="A149" s="16" t="s">
        <v>776</v>
      </c>
      <c r="B149" s="17" t="s">
        <v>504</v>
      </c>
    </row>
    <row r="150" spans="1:2" x14ac:dyDescent="0.15">
      <c r="A150" s="14" t="s">
        <v>274</v>
      </c>
      <c r="B150" s="15" t="s">
        <v>142</v>
      </c>
    </row>
    <row r="151" spans="1:2" x14ac:dyDescent="0.15">
      <c r="A151" s="16" t="s">
        <v>275</v>
      </c>
      <c r="B151" s="17" t="s">
        <v>505</v>
      </c>
    </row>
    <row r="152" spans="1:2" x14ac:dyDescent="0.15">
      <c r="A152" s="14" t="s">
        <v>276</v>
      </c>
      <c r="B152" s="15" t="s">
        <v>506</v>
      </c>
    </row>
    <row r="153" spans="1:2" x14ac:dyDescent="0.15">
      <c r="A153" s="16" t="s">
        <v>277</v>
      </c>
      <c r="B153" s="17" t="s">
        <v>143</v>
      </c>
    </row>
    <row r="154" spans="1:2" x14ac:dyDescent="0.15">
      <c r="A154" s="14" t="s">
        <v>777</v>
      </c>
      <c r="B154" s="15" t="s">
        <v>507</v>
      </c>
    </row>
    <row r="155" spans="1:2" x14ac:dyDescent="0.15">
      <c r="A155" s="16" t="s">
        <v>778</v>
      </c>
      <c r="B155" s="17" t="s">
        <v>508</v>
      </c>
    </row>
    <row r="156" spans="1:2" x14ac:dyDescent="0.15">
      <c r="A156" s="14" t="s">
        <v>779</v>
      </c>
      <c r="B156" s="15" t="s">
        <v>509</v>
      </c>
    </row>
    <row r="157" spans="1:2" x14ac:dyDescent="0.15">
      <c r="A157" s="16" t="s">
        <v>780</v>
      </c>
      <c r="B157" s="17" t="s">
        <v>510</v>
      </c>
    </row>
    <row r="158" spans="1:2" x14ac:dyDescent="0.15">
      <c r="A158" s="14" t="s">
        <v>781</v>
      </c>
      <c r="B158" s="15" t="s">
        <v>511</v>
      </c>
    </row>
    <row r="159" spans="1:2" x14ac:dyDescent="0.15">
      <c r="A159" s="16" t="s">
        <v>782</v>
      </c>
      <c r="B159" s="17" t="s">
        <v>512</v>
      </c>
    </row>
    <row r="160" spans="1:2" x14ac:dyDescent="0.15">
      <c r="A160" s="14" t="s">
        <v>783</v>
      </c>
      <c r="B160" s="15" t="s">
        <v>513</v>
      </c>
    </row>
    <row r="161" spans="1:2" x14ac:dyDescent="0.15">
      <c r="A161" s="16" t="s">
        <v>784</v>
      </c>
      <c r="B161" s="17" t="s">
        <v>514</v>
      </c>
    </row>
    <row r="162" spans="1:2" x14ac:dyDescent="0.15">
      <c r="A162" s="14" t="s">
        <v>785</v>
      </c>
      <c r="B162" s="15" t="s">
        <v>515</v>
      </c>
    </row>
    <row r="163" spans="1:2" x14ac:dyDescent="0.15">
      <c r="A163" s="16" t="s">
        <v>786</v>
      </c>
      <c r="B163" s="17" t="s">
        <v>516</v>
      </c>
    </row>
    <row r="164" spans="1:2" x14ac:dyDescent="0.15">
      <c r="A164" s="14" t="s">
        <v>787</v>
      </c>
      <c r="B164" s="15" t="s">
        <v>517</v>
      </c>
    </row>
    <row r="165" spans="1:2" x14ac:dyDescent="0.15">
      <c r="A165" s="16" t="s">
        <v>788</v>
      </c>
      <c r="B165" s="17" t="s">
        <v>518</v>
      </c>
    </row>
    <row r="166" spans="1:2" x14ac:dyDescent="0.15">
      <c r="A166" s="14" t="s">
        <v>789</v>
      </c>
      <c r="B166" s="15" t="s">
        <v>519</v>
      </c>
    </row>
    <row r="167" spans="1:2" x14ac:dyDescent="0.15">
      <c r="A167" s="16" t="s">
        <v>790</v>
      </c>
      <c r="B167" s="17" t="s">
        <v>520</v>
      </c>
    </row>
    <row r="168" spans="1:2" x14ac:dyDescent="0.15">
      <c r="A168" s="14" t="s">
        <v>791</v>
      </c>
      <c r="B168" s="15" t="s">
        <v>521</v>
      </c>
    </row>
    <row r="169" spans="1:2" x14ac:dyDescent="0.15">
      <c r="A169" s="16" t="s">
        <v>287</v>
      </c>
      <c r="B169" s="17" t="s">
        <v>144</v>
      </c>
    </row>
    <row r="170" spans="1:2" x14ac:dyDescent="0.15">
      <c r="A170" s="14" t="s">
        <v>792</v>
      </c>
      <c r="B170" s="15" t="s">
        <v>522</v>
      </c>
    </row>
    <row r="171" spans="1:2" x14ac:dyDescent="0.15">
      <c r="A171" s="16" t="s">
        <v>288</v>
      </c>
      <c r="B171" s="17" t="s">
        <v>145</v>
      </c>
    </row>
    <row r="172" spans="1:2" x14ac:dyDescent="0.15">
      <c r="A172" s="14" t="s">
        <v>793</v>
      </c>
      <c r="B172" s="15" t="s">
        <v>523</v>
      </c>
    </row>
    <row r="173" spans="1:2" x14ac:dyDescent="0.15">
      <c r="A173" s="16" t="s">
        <v>794</v>
      </c>
      <c r="B173" s="17" t="s">
        <v>524</v>
      </c>
    </row>
    <row r="174" spans="1:2" x14ac:dyDescent="0.15">
      <c r="A174" s="14" t="s">
        <v>795</v>
      </c>
      <c r="B174" s="15" t="s">
        <v>525</v>
      </c>
    </row>
    <row r="175" spans="1:2" x14ac:dyDescent="0.15">
      <c r="A175" s="16" t="s">
        <v>796</v>
      </c>
      <c r="B175" s="17" t="s">
        <v>526</v>
      </c>
    </row>
    <row r="176" spans="1:2" x14ac:dyDescent="0.15">
      <c r="A176" s="14" t="s">
        <v>797</v>
      </c>
      <c r="B176" s="15" t="s">
        <v>527</v>
      </c>
    </row>
    <row r="177" spans="1:2" x14ac:dyDescent="0.15">
      <c r="A177" s="16" t="s">
        <v>798</v>
      </c>
      <c r="B177" s="17" t="s">
        <v>528</v>
      </c>
    </row>
    <row r="178" spans="1:2" x14ac:dyDescent="0.15">
      <c r="A178" s="14" t="s">
        <v>799</v>
      </c>
      <c r="B178" s="15" t="s">
        <v>529</v>
      </c>
    </row>
    <row r="179" spans="1:2" x14ac:dyDescent="0.15">
      <c r="A179" s="16" t="s">
        <v>800</v>
      </c>
      <c r="B179" s="17" t="s">
        <v>530</v>
      </c>
    </row>
    <row r="180" spans="1:2" x14ac:dyDescent="0.15">
      <c r="A180" s="14" t="s">
        <v>801</v>
      </c>
      <c r="B180" s="15" t="s">
        <v>531</v>
      </c>
    </row>
    <row r="181" spans="1:2" x14ac:dyDescent="0.15">
      <c r="A181" s="16" t="s">
        <v>802</v>
      </c>
      <c r="B181" s="17" t="s">
        <v>532</v>
      </c>
    </row>
    <row r="182" spans="1:2" x14ac:dyDescent="0.15">
      <c r="A182" s="14" t="s">
        <v>803</v>
      </c>
      <c r="B182" s="15" t="s">
        <v>533</v>
      </c>
    </row>
    <row r="183" spans="1:2" x14ac:dyDescent="0.15">
      <c r="A183" s="16" t="s">
        <v>804</v>
      </c>
      <c r="B183" s="17" t="s">
        <v>534</v>
      </c>
    </row>
    <row r="184" spans="1:2" x14ac:dyDescent="0.15">
      <c r="A184" s="14" t="s">
        <v>805</v>
      </c>
      <c r="B184" s="15" t="s">
        <v>535</v>
      </c>
    </row>
    <row r="185" spans="1:2" x14ac:dyDescent="0.15">
      <c r="A185" s="16" t="s">
        <v>806</v>
      </c>
      <c r="B185" s="17" t="s">
        <v>536</v>
      </c>
    </row>
    <row r="186" spans="1:2" x14ac:dyDescent="0.15">
      <c r="A186" s="14" t="s">
        <v>807</v>
      </c>
      <c r="B186" s="15" t="s">
        <v>537</v>
      </c>
    </row>
    <row r="187" spans="1:2" x14ac:dyDescent="0.15">
      <c r="A187" s="16" t="s">
        <v>808</v>
      </c>
      <c r="B187" s="17" t="s">
        <v>538</v>
      </c>
    </row>
    <row r="188" spans="1:2" x14ac:dyDescent="0.15">
      <c r="A188" s="14" t="s">
        <v>15</v>
      </c>
      <c r="B188" s="15" t="s">
        <v>148</v>
      </c>
    </row>
    <row r="189" spans="1:2" x14ac:dyDescent="0.15">
      <c r="A189" s="16" t="s">
        <v>809</v>
      </c>
      <c r="B189" s="17" t="s">
        <v>539</v>
      </c>
    </row>
    <row r="190" spans="1:2" x14ac:dyDescent="0.15">
      <c r="A190" s="14" t="s">
        <v>290</v>
      </c>
      <c r="B190" s="15" t="s">
        <v>149</v>
      </c>
    </row>
    <row r="191" spans="1:2" x14ac:dyDescent="0.15">
      <c r="A191" s="16" t="s">
        <v>810</v>
      </c>
      <c r="B191" s="17" t="s">
        <v>540</v>
      </c>
    </row>
    <row r="192" spans="1:2" x14ac:dyDescent="0.15">
      <c r="A192" s="14" t="s">
        <v>811</v>
      </c>
      <c r="B192" s="15" t="s">
        <v>541</v>
      </c>
    </row>
    <row r="193" spans="1:2" x14ac:dyDescent="0.15">
      <c r="A193" s="16" t="s">
        <v>812</v>
      </c>
      <c r="B193" s="17" t="s">
        <v>542</v>
      </c>
    </row>
    <row r="194" spans="1:2" x14ac:dyDescent="0.15">
      <c r="A194" s="14" t="s">
        <v>16</v>
      </c>
      <c r="B194" s="15" t="s">
        <v>150</v>
      </c>
    </row>
    <row r="195" spans="1:2" x14ac:dyDescent="0.15">
      <c r="A195" s="16" t="s">
        <v>813</v>
      </c>
      <c r="B195" s="17" t="s">
        <v>543</v>
      </c>
    </row>
    <row r="196" spans="1:2" x14ac:dyDescent="0.15">
      <c r="A196" s="14" t="s">
        <v>814</v>
      </c>
      <c r="B196" s="15" t="s">
        <v>1375</v>
      </c>
    </row>
    <row r="197" spans="1:2" x14ac:dyDescent="0.15">
      <c r="A197" s="16" t="s">
        <v>815</v>
      </c>
      <c r="B197" s="17" t="s">
        <v>544</v>
      </c>
    </row>
    <row r="198" spans="1:2" x14ac:dyDescent="0.15">
      <c r="A198" s="14" t="s">
        <v>816</v>
      </c>
      <c r="B198" s="15" t="s">
        <v>151</v>
      </c>
    </row>
    <row r="199" spans="1:2" x14ac:dyDescent="0.15">
      <c r="A199" s="16" t="s">
        <v>817</v>
      </c>
      <c r="B199" s="17" t="s">
        <v>545</v>
      </c>
    </row>
    <row r="200" spans="1:2" x14ac:dyDescent="0.15">
      <c r="A200" s="14" t="s">
        <v>818</v>
      </c>
      <c r="B200" s="15" t="s">
        <v>546</v>
      </c>
    </row>
    <row r="201" spans="1:2" x14ac:dyDescent="0.15">
      <c r="A201" s="16" t="s">
        <v>819</v>
      </c>
      <c r="B201" s="17" t="s">
        <v>152</v>
      </c>
    </row>
    <row r="202" spans="1:2" x14ac:dyDescent="0.15">
      <c r="A202" s="14" t="s">
        <v>820</v>
      </c>
      <c r="B202" s="15" t="s">
        <v>1375</v>
      </c>
    </row>
    <row r="203" spans="1:2" x14ac:dyDescent="0.15">
      <c r="A203" s="16" t="s">
        <v>17</v>
      </c>
      <c r="B203" s="17" t="s">
        <v>153</v>
      </c>
    </row>
    <row r="204" spans="1:2" x14ac:dyDescent="0.15">
      <c r="A204" s="14" t="s">
        <v>821</v>
      </c>
      <c r="B204" s="15" t="s">
        <v>547</v>
      </c>
    </row>
    <row r="205" spans="1:2" x14ac:dyDescent="0.15">
      <c r="A205" s="16" t="s">
        <v>822</v>
      </c>
      <c r="B205" s="17" t="s">
        <v>548</v>
      </c>
    </row>
    <row r="206" spans="1:2" x14ac:dyDescent="0.15">
      <c r="A206" s="14" t="s">
        <v>823</v>
      </c>
      <c r="B206" s="15" t="s">
        <v>549</v>
      </c>
    </row>
    <row r="207" spans="1:2" x14ac:dyDescent="0.15">
      <c r="A207" s="16" t="s">
        <v>824</v>
      </c>
      <c r="B207" s="17" t="s">
        <v>550</v>
      </c>
    </row>
    <row r="208" spans="1:2" x14ac:dyDescent="0.15">
      <c r="A208" s="14" t="s">
        <v>825</v>
      </c>
      <c r="B208" s="15" t="s">
        <v>154</v>
      </c>
    </row>
    <row r="209" spans="1:2" x14ac:dyDescent="0.15">
      <c r="A209" s="16" t="s">
        <v>826</v>
      </c>
      <c r="B209" s="17" t="s">
        <v>551</v>
      </c>
    </row>
    <row r="210" spans="1:2" x14ac:dyDescent="0.15">
      <c r="A210" s="14" t="s">
        <v>827</v>
      </c>
      <c r="B210" s="15" t="s">
        <v>552</v>
      </c>
    </row>
    <row r="211" spans="1:2" x14ac:dyDescent="0.15">
      <c r="A211" s="16" t="s">
        <v>828</v>
      </c>
      <c r="B211" s="17" t="s">
        <v>18</v>
      </c>
    </row>
    <row r="212" spans="1:2" x14ac:dyDescent="0.15">
      <c r="A212" s="14" t="s">
        <v>829</v>
      </c>
      <c r="B212" s="15" t="s">
        <v>553</v>
      </c>
    </row>
    <row r="213" spans="1:2" x14ac:dyDescent="0.15">
      <c r="A213" s="16" t="s">
        <v>830</v>
      </c>
      <c r="B213" s="17" t="s">
        <v>19</v>
      </c>
    </row>
    <row r="214" spans="1:2" x14ac:dyDescent="0.15">
      <c r="A214" s="14" t="s">
        <v>831</v>
      </c>
      <c r="B214" s="15" t="s">
        <v>155</v>
      </c>
    </row>
    <row r="215" spans="1:2" x14ac:dyDescent="0.15">
      <c r="A215" s="16" t="s">
        <v>832</v>
      </c>
      <c r="B215" s="17" t="s">
        <v>554</v>
      </c>
    </row>
    <row r="216" spans="1:2" x14ac:dyDescent="0.15">
      <c r="A216" s="14" t="s">
        <v>833</v>
      </c>
      <c r="B216" s="15" t="s">
        <v>555</v>
      </c>
    </row>
    <row r="217" spans="1:2" x14ac:dyDescent="0.15">
      <c r="A217" s="16" t="s">
        <v>834</v>
      </c>
      <c r="B217" s="17" t="s">
        <v>556</v>
      </c>
    </row>
    <row r="218" spans="1:2" x14ac:dyDescent="0.15">
      <c r="A218" s="14" t="s">
        <v>835</v>
      </c>
      <c r="B218" s="15" t="s">
        <v>156</v>
      </c>
    </row>
    <row r="219" spans="1:2" x14ac:dyDescent="0.15">
      <c r="A219" s="16" t="s">
        <v>836</v>
      </c>
      <c r="B219" s="17" t="s">
        <v>557</v>
      </c>
    </row>
    <row r="220" spans="1:2" x14ac:dyDescent="0.15">
      <c r="A220" s="14" t="s">
        <v>837</v>
      </c>
      <c r="B220" s="15" t="s">
        <v>558</v>
      </c>
    </row>
    <row r="221" spans="1:2" x14ac:dyDescent="0.15">
      <c r="A221" s="16" t="s">
        <v>838</v>
      </c>
      <c r="B221" s="17" t="s">
        <v>157</v>
      </c>
    </row>
    <row r="222" spans="1:2" x14ac:dyDescent="0.15">
      <c r="A222" s="14" t="s">
        <v>839</v>
      </c>
      <c r="B222" s="15" t="s">
        <v>557</v>
      </c>
    </row>
    <row r="223" spans="1:2" x14ac:dyDescent="0.15">
      <c r="A223" s="16" t="s">
        <v>840</v>
      </c>
      <c r="B223" s="17" t="s">
        <v>559</v>
      </c>
    </row>
    <row r="224" spans="1:2" x14ac:dyDescent="0.15">
      <c r="A224" s="14" t="s">
        <v>841</v>
      </c>
      <c r="B224" s="15" t="s">
        <v>560</v>
      </c>
    </row>
    <row r="225" spans="1:2" x14ac:dyDescent="0.15">
      <c r="A225" s="16" t="s">
        <v>842</v>
      </c>
      <c r="B225" s="17" t="s">
        <v>561</v>
      </c>
    </row>
    <row r="226" spans="1:2" x14ac:dyDescent="0.15">
      <c r="A226" s="14" t="s">
        <v>843</v>
      </c>
      <c r="B226" s="15" t="s">
        <v>562</v>
      </c>
    </row>
    <row r="227" spans="1:2" x14ac:dyDescent="0.15">
      <c r="A227" s="16" t="s">
        <v>844</v>
      </c>
      <c r="B227" s="17" t="s">
        <v>158</v>
      </c>
    </row>
    <row r="228" spans="1:2" x14ac:dyDescent="0.15">
      <c r="A228" s="14" t="s">
        <v>845</v>
      </c>
      <c r="B228" s="15" t="s">
        <v>563</v>
      </c>
    </row>
    <row r="229" spans="1:2" x14ac:dyDescent="0.15">
      <c r="A229" s="16" t="s">
        <v>846</v>
      </c>
      <c r="B229" s="17" t="s">
        <v>564</v>
      </c>
    </row>
    <row r="230" spans="1:2" x14ac:dyDescent="0.15">
      <c r="A230" s="14" t="s">
        <v>847</v>
      </c>
      <c r="B230" s="15" t="s">
        <v>565</v>
      </c>
    </row>
    <row r="231" spans="1:2" x14ac:dyDescent="0.15">
      <c r="A231" s="16" t="s">
        <v>848</v>
      </c>
      <c r="B231" s="17" t="s">
        <v>564</v>
      </c>
    </row>
    <row r="232" spans="1:2" x14ac:dyDescent="0.15">
      <c r="A232" s="14" t="s">
        <v>849</v>
      </c>
      <c r="B232" s="15" t="s">
        <v>566</v>
      </c>
    </row>
    <row r="233" spans="1:2" x14ac:dyDescent="0.15">
      <c r="A233" s="16" t="s">
        <v>35</v>
      </c>
      <c r="B233" s="17" t="s">
        <v>171</v>
      </c>
    </row>
    <row r="234" spans="1:2" x14ac:dyDescent="0.15">
      <c r="A234" s="14" t="s">
        <v>850</v>
      </c>
      <c r="B234" s="15" t="s">
        <v>567</v>
      </c>
    </row>
    <row r="235" spans="1:2" x14ac:dyDescent="0.15">
      <c r="A235" s="16" t="s">
        <v>36</v>
      </c>
      <c r="B235" s="17" t="s">
        <v>172</v>
      </c>
    </row>
    <row r="236" spans="1:2" x14ac:dyDescent="0.15">
      <c r="A236" s="14" t="s">
        <v>37</v>
      </c>
      <c r="B236" s="15" t="s">
        <v>173</v>
      </c>
    </row>
    <row r="237" spans="1:2" x14ac:dyDescent="0.15">
      <c r="A237" s="16" t="s">
        <v>851</v>
      </c>
      <c r="B237" s="17" t="s">
        <v>568</v>
      </c>
    </row>
    <row r="238" spans="1:2" x14ac:dyDescent="0.15">
      <c r="A238" s="14" t="s">
        <v>852</v>
      </c>
      <c r="B238" s="15" t="s">
        <v>174</v>
      </c>
    </row>
    <row r="239" spans="1:2" x14ac:dyDescent="0.15">
      <c r="A239" s="16" t="s">
        <v>853</v>
      </c>
      <c r="B239" s="17" t="s">
        <v>569</v>
      </c>
    </row>
    <row r="240" spans="1:2" x14ac:dyDescent="0.15">
      <c r="A240" s="14" t="s">
        <v>38</v>
      </c>
      <c r="B240" s="15" t="s">
        <v>175</v>
      </c>
    </row>
    <row r="241" spans="1:2" x14ac:dyDescent="0.15">
      <c r="A241" s="16" t="s">
        <v>854</v>
      </c>
      <c r="B241" s="17" t="s">
        <v>570</v>
      </c>
    </row>
    <row r="242" spans="1:2" x14ac:dyDescent="0.15">
      <c r="A242" s="14" t="s">
        <v>855</v>
      </c>
      <c r="B242" s="15" t="s">
        <v>571</v>
      </c>
    </row>
    <row r="243" spans="1:2" x14ac:dyDescent="0.15">
      <c r="A243" s="16" t="s">
        <v>856</v>
      </c>
      <c r="B243" s="17" t="s">
        <v>572</v>
      </c>
    </row>
    <row r="244" spans="1:2" x14ac:dyDescent="0.15">
      <c r="A244" s="14" t="s">
        <v>39</v>
      </c>
      <c r="B244" s="15" t="s">
        <v>176</v>
      </c>
    </row>
    <row r="245" spans="1:2" x14ac:dyDescent="0.15">
      <c r="A245" s="16" t="s">
        <v>857</v>
      </c>
      <c r="B245" s="17" t="s">
        <v>573</v>
      </c>
    </row>
    <row r="246" spans="1:2" x14ac:dyDescent="0.15">
      <c r="A246" s="14" t="s">
        <v>858</v>
      </c>
      <c r="B246" s="15" t="s">
        <v>574</v>
      </c>
    </row>
    <row r="247" spans="1:2" x14ac:dyDescent="0.15">
      <c r="A247" s="16" t="s">
        <v>859</v>
      </c>
      <c r="B247" s="17" t="s">
        <v>575</v>
      </c>
    </row>
    <row r="248" spans="1:2" x14ac:dyDescent="0.15">
      <c r="A248" s="14" t="s">
        <v>860</v>
      </c>
      <c r="B248" s="15" t="s">
        <v>576</v>
      </c>
    </row>
    <row r="249" spans="1:2" x14ac:dyDescent="0.15">
      <c r="A249" s="16" t="s">
        <v>861</v>
      </c>
      <c r="B249" s="17" t="s">
        <v>577</v>
      </c>
    </row>
    <row r="250" spans="1:2" x14ac:dyDescent="0.15">
      <c r="A250" s="14" t="s">
        <v>862</v>
      </c>
      <c r="B250" s="15" t="s">
        <v>578</v>
      </c>
    </row>
    <row r="251" spans="1:2" x14ac:dyDescent="0.15">
      <c r="A251" s="16" t="s">
        <v>863</v>
      </c>
      <c r="B251" s="17" t="s">
        <v>579</v>
      </c>
    </row>
    <row r="252" spans="1:2" x14ac:dyDescent="0.15">
      <c r="A252" s="14" t="s">
        <v>40</v>
      </c>
      <c r="B252" s="15" t="s">
        <v>580</v>
      </c>
    </row>
    <row r="253" spans="1:2" x14ac:dyDescent="0.15">
      <c r="A253" s="16" t="s">
        <v>864</v>
      </c>
      <c r="B253" s="17" t="s">
        <v>581</v>
      </c>
    </row>
    <row r="254" spans="1:2" x14ac:dyDescent="0.15">
      <c r="A254" s="14" t="s">
        <v>41</v>
      </c>
      <c r="B254" s="15" t="s">
        <v>582</v>
      </c>
    </row>
    <row r="255" spans="1:2" x14ac:dyDescent="0.15">
      <c r="A255" s="16" t="s">
        <v>865</v>
      </c>
      <c r="B255" s="17" t="s">
        <v>583</v>
      </c>
    </row>
    <row r="256" spans="1:2" x14ac:dyDescent="0.15">
      <c r="A256" s="14" t="s">
        <v>866</v>
      </c>
      <c r="B256" s="15" t="s">
        <v>584</v>
      </c>
    </row>
    <row r="257" spans="1:2" x14ac:dyDescent="0.15">
      <c r="A257" s="16" t="s">
        <v>295</v>
      </c>
      <c r="B257" s="17" t="s">
        <v>585</v>
      </c>
    </row>
    <row r="258" spans="1:2" x14ac:dyDescent="0.15">
      <c r="A258" s="14" t="s">
        <v>42</v>
      </c>
      <c r="B258" s="15" t="s">
        <v>586</v>
      </c>
    </row>
    <row r="259" spans="1:2" x14ac:dyDescent="0.15">
      <c r="A259" s="16" t="s">
        <v>867</v>
      </c>
      <c r="B259" s="17" t="s">
        <v>587</v>
      </c>
    </row>
    <row r="260" spans="1:2" x14ac:dyDescent="0.15">
      <c r="A260" s="14" t="s">
        <v>868</v>
      </c>
      <c r="B260" s="15" t="s">
        <v>588</v>
      </c>
    </row>
    <row r="261" spans="1:2" x14ac:dyDescent="0.15">
      <c r="A261" s="16" t="s">
        <v>43</v>
      </c>
      <c r="B261" s="17" t="s">
        <v>177</v>
      </c>
    </row>
    <row r="262" spans="1:2" x14ac:dyDescent="0.15">
      <c r="A262" s="14" t="s">
        <v>869</v>
      </c>
      <c r="B262" s="15" t="s">
        <v>589</v>
      </c>
    </row>
    <row r="263" spans="1:2" x14ac:dyDescent="0.15">
      <c r="A263" s="16" t="s">
        <v>44</v>
      </c>
      <c r="B263" s="17" t="s">
        <v>178</v>
      </c>
    </row>
    <row r="264" spans="1:2" x14ac:dyDescent="0.15">
      <c r="A264" s="14" t="s">
        <v>870</v>
      </c>
      <c r="B264" s="15" t="s">
        <v>590</v>
      </c>
    </row>
    <row r="265" spans="1:2" x14ac:dyDescent="0.15">
      <c r="A265" s="16" t="s">
        <v>871</v>
      </c>
      <c r="B265" s="17" t="s">
        <v>591</v>
      </c>
    </row>
    <row r="266" spans="1:2" x14ac:dyDescent="0.15">
      <c r="A266" s="14" t="s">
        <v>45</v>
      </c>
      <c r="B266" s="15" t="s">
        <v>179</v>
      </c>
    </row>
    <row r="267" spans="1:2" x14ac:dyDescent="0.15">
      <c r="A267" s="16" t="s">
        <v>872</v>
      </c>
      <c r="B267" s="17" t="s">
        <v>592</v>
      </c>
    </row>
    <row r="268" spans="1:2" x14ac:dyDescent="0.15">
      <c r="A268" s="14" t="s">
        <v>46</v>
      </c>
      <c r="B268" s="15" t="s">
        <v>180</v>
      </c>
    </row>
    <row r="269" spans="1:2" x14ac:dyDescent="0.15">
      <c r="A269" s="16" t="s">
        <v>872</v>
      </c>
      <c r="B269" s="17" t="s">
        <v>593</v>
      </c>
    </row>
    <row r="270" spans="1:2" x14ac:dyDescent="0.15">
      <c r="A270" s="14" t="s">
        <v>47</v>
      </c>
      <c r="B270" s="15" t="s">
        <v>181</v>
      </c>
    </row>
    <row r="271" spans="1:2" x14ac:dyDescent="0.15">
      <c r="A271" s="16" t="s">
        <v>873</v>
      </c>
      <c r="B271" s="17" t="s">
        <v>594</v>
      </c>
    </row>
    <row r="272" spans="1:2" x14ac:dyDescent="0.15">
      <c r="A272" s="14" t="s">
        <v>48</v>
      </c>
      <c r="B272" s="15" t="s">
        <v>182</v>
      </c>
    </row>
    <row r="273" spans="1:2" x14ac:dyDescent="0.15">
      <c r="A273" s="16" t="s">
        <v>874</v>
      </c>
      <c r="B273" s="17" t="s">
        <v>595</v>
      </c>
    </row>
    <row r="274" spans="1:2" x14ac:dyDescent="0.15">
      <c r="A274" s="14" t="s">
        <v>875</v>
      </c>
      <c r="B274" s="15" t="s">
        <v>596</v>
      </c>
    </row>
    <row r="275" spans="1:2" x14ac:dyDescent="0.15">
      <c r="A275" s="16" t="s">
        <v>876</v>
      </c>
      <c r="B275" s="17" t="s">
        <v>597</v>
      </c>
    </row>
    <row r="276" spans="1:2" x14ac:dyDescent="0.15">
      <c r="A276" s="14" t="s">
        <v>877</v>
      </c>
      <c r="B276" s="15" t="s">
        <v>598</v>
      </c>
    </row>
    <row r="277" spans="1:2" x14ac:dyDescent="0.15">
      <c r="A277" s="16" t="s">
        <v>878</v>
      </c>
      <c r="B277" s="17" t="s">
        <v>599</v>
      </c>
    </row>
    <row r="278" spans="1:2" x14ac:dyDescent="0.15">
      <c r="A278" s="14" t="s">
        <v>879</v>
      </c>
      <c r="B278" s="15" t="s">
        <v>600</v>
      </c>
    </row>
    <row r="279" spans="1:2" x14ac:dyDescent="0.15">
      <c r="A279" s="16" t="s">
        <v>49</v>
      </c>
      <c r="B279" s="17" t="s">
        <v>183</v>
      </c>
    </row>
    <row r="280" spans="1:2" x14ac:dyDescent="0.15">
      <c r="A280" s="14" t="s">
        <v>880</v>
      </c>
      <c r="B280" s="15" t="s">
        <v>601</v>
      </c>
    </row>
    <row r="281" spans="1:2" x14ac:dyDescent="0.15">
      <c r="A281" s="16" t="s">
        <v>50</v>
      </c>
      <c r="B281" s="17" t="s">
        <v>184</v>
      </c>
    </row>
    <row r="282" spans="1:2" x14ac:dyDescent="0.15">
      <c r="A282" s="14" t="s">
        <v>881</v>
      </c>
      <c r="B282" s="15" t="s">
        <v>602</v>
      </c>
    </row>
    <row r="283" spans="1:2" x14ac:dyDescent="0.15">
      <c r="A283" s="16" t="s">
        <v>882</v>
      </c>
      <c r="B283" s="17" t="s">
        <v>603</v>
      </c>
    </row>
    <row r="284" spans="1:2" x14ac:dyDescent="0.15">
      <c r="A284" s="14" t="s">
        <v>883</v>
      </c>
      <c r="B284" s="15" t="s">
        <v>604</v>
      </c>
    </row>
    <row r="285" spans="1:2" x14ac:dyDescent="0.15">
      <c r="A285" s="16" t="s">
        <v>878</v>
      </c>
      <c r="B285" s="17" t="s">
        <v>605</v>
      </c>
    </row>
    <row r="286" spans="1:2" x14ac:dyDescent="0.15">
      <c r="A286" s="14" t="s">
        <v>884</v>
      </c>
      <c r="B286" s="15" t="s">
        <v>606</v>
      </c>
    </row>
    <row r="287" spans="1:2" x14ac:dyDescent="0.15">
      <c r="A287" s="16" t="s">
        <v>6</v>
      </c>
      <c r="B287" s="17" t="s">
        <v>329</v>
      </c>
    </row>
    <row r="288" spans="1:2" x14ac:dyDescent="0.15">
      <c r="A288" s="14" t="s">
        <v>982</v>
      </c>
      <c r="B288" s="15" t="s">
        <v>952</v>
      </c>
    </row>
    <row r="289" spans="1:2" x14ac:dyDescent="0.15">
      <c r="A289" s="16" t="s">
        <v>7</v>
      </c>
      <c r="B289" s="17" t="s">
        <v>1376</v>
      </c>
    </row>
    <row r="290" spans="1:2" x14ac:dyDescent="0.15">
      <c r="A290" s="14" t="s">
        <v>885</v>
      </c>
      <c r="B290" s="15" t="s">
        <v>1377</v>
      </c>
    </row>
    <row r="291" spans="1:2" x14ac:dyDescent="0.15">
      <c r="A291" s="16" t="s">
        <v>983</v>
      </c>
      <c r="B291" s="17" t="s">
        <v>953</v>
      </c>
    </row>
    <row r="292" spans="1:2" x14ac:dyDescent="0.15">
      <c r="A292" s="14" t="s">
        <v>886</v>
      </c>
      <c r="B292" s="15" t="s">
        <v>1378</v>
      </c>
    </row>
    <row r="293" spans="1:2" x14ac:dyDescent="0.15">
      <c r="A293" s="16" t="s">
        <v>887</v>
      </c>
      <c r="B293" s="17" t="s">
        <v>1379</v>
      </c>
    </row>
    <row r="294" spans="1:2" x14ac:dyDescent="0.15">
      <c r="A294" s="14" t="s">
        <v>888</v>
      </c>
      <c r="B294" s="15" t="s">
        <v>1380</v>
      </c>
    </row>
    <row r="295" spans="1:2" x14ac:dyDescent="0.15">
      <c r="A295" s="16" t="s">
        <v>984</v>
      </c>
      <c r="B295" s="17" t="s">
        <v>954</v>
      </c>
    </row>
    <row r="296" spans="1:2" x14ac:dyDescent="0.15">
      <c r="A296" s="14" t="s">
        <v>889</v>
      </c>
      <c r="B296" s="15" t="s">
        <v>607</v>
      </c>
    </row>
    <row r="297" spans="1:2" x14ac:dyDescent="0.15">
      <c r="A297" s="16" t="s">
        <v>985</v>
      </c>
      <c r="B297" s="17" t="s">
        <v>955</v>
      </c>
    </row>
    <row r="298" spans="1:2" x14ac:dyDescent="0.15">
      <c r="A298" s="14" t="s">
        <v>1062</v>
      </c>
      <c r="B298" s="15" t="s">
        <v>1226</v>
      </c>
    </row>
    <row r="299" spans="1:2" x14ac:dyDescent="0.15">
      <c r="A299" s="16" t="s">
        <v>890</v>
      </c>
      <c r="B299" s="17" t="s">
        <v>608</v>
      </c>
    </row>
    <row r="300" spans="1:2" x14ac:dyDescent="0.15">
      <c r="A300" s="14" t="s">
        <v>986</v>
      </c>
      <c r="B300" s="15" t="s">
        <v>956</v>
      </c>
    </row>
    <row r="301" spans="1:2" x14ac:dyDescent="0.15">
      <c r="A301" s="16" t="s">
        <v>987</v>
      </c>
      <c r="B301" s="17" t="s">
        <v>957</v>
      </c>
    </row>
    <row r="302" spans="1:2" x14ac:dyDescent="0.15">
      <c r="A302" s="14" t="s">
        <v>1063</v>
      </c>
      <c r="B302" s="15" t="s">
        <v>1381</v>
      </c>
    </row>
    <row r="303" spans="1:2" x14ac:dyDescent="0.15">
      <c r="A303" s="16" t="s">
        <v>891</v>
      </c>
      <c r="B303" s="17" t="s">
        <v>1382</v>
      </c>
    </row>
    <row r="304" spans="1:2" x14ac:dyDescent="0.15">
      <c r="A304" s="14" t="s">
        <v>892</v>
      </c>
      <c r="B304" s="15" t="s">
        <v>609</v>
      </c>
    </row>
    <row r="305" spans="1:2" x14ac:dyDescent="0.15">
      <c r="A305" s="16" t="s">
        <v>988</v>
      </c>
      <c r="B305" s="17" t="s">
        <v>958</v>
      </c>
    </row>
    <row r="306" spans="1:2" x14ac:dyDescent="0.15">
      <c r="A306" s="14" t="s">
        <v>893</v>
      </c>
      <c r="B306" s="15" t="s">
        <v>610</v>
      </c>
    </row>
    <row r="307" spans="1:2" x14ac:dyDescent="0.15">
      <c r="A307" s="16" t="s">
        <v>988</v>
      </c>
      <c r="B307" s="17" t="s">
        <v>959</v>
      </c>
    </row>
    <row r="308" spans="1:2" x14ac:dyDescent="0.15">
      <c r="A308" s="14" t="s">
        <v>1064</v>
      </c>
      <c r="B308" s="15" t="s">
        <v>1227</v>
      </c>
    </row>
    <row r="309" spans="1:2" x14ac:dyDescent="0.15">
      <c r="A309" s="16" t="s">
        <v>894</v>
      </c>
      <c r="B309" s="17" t="s">
        <v>611</v>
      </c>
    </row>
    <row r="310" spans="1:2" x14ac:dyDescent="0.15">
      <c r="A310" s="14" t="s">
        <v>989</v>
      </c>
      <c r="B310" s="15" t="s">
        <v>960</v>
      </c>
    </row>
    <row r="311" spans="1:2" x14ac:dyDescent="0.15">
      <c r="A311" s="16" t="s">
        <v>895</v>
      </c>
      <c r="B311" s="17" t="s">
        <v>612</v>
      </c>
    </row>
    <row r="312" spans="1:2" x14ac:dyDescent="0.15">
      <c r="A312" s="14" t="s">
        <v>990</v>
      </c>
      <c r="B312" s="15" t="s">
        <v>961</v>
      </c>
    </row>
    <row r="313" spans="1:2" x14ac:dyDescent="0.15">
      <c r="A313" s="16" t="s">
        <v>1065</v>
      </c>
      <c r="B313" s="17" t="s">
        <v>1228</v>
      </c>
    </row>
    <row r="314" spans="1:2" x14ac:dyDescent="0.15">
      <c r="A314" s="14" t="s">
        <v>896</v>
      </c>
      <c r="B314" s="15" t="s">
        <v>613</v>
      </c>
    </row>
    <row r="315" spans="1:2" x14ac:dyDescent="0.15">
      <c r="A315" s="16" t="s">
        <v>991</v>
      </c>
      <c r="B315" s="17" t="s">
        <v>962</v>
      </c>
    </row>
    <row r="316" spans="1:2" x14ac:dyDescent="0.15">
      <c r="A316" s="14" t="s">
        <v>897</v>
      </c>
      <c r="B316" s="15" t="s">
        <v>1383</v>
      </c>
    </row>
    <row r="317" spans="1:2" x14ac:dyDescent="0.15">
      <c r="A317" s="16" t="s">
        <v>992</v>
      </c>
      <c r="B317" s="17" t="s">
        <v>963</v>
      </c>
    </row>
    <row r="318" spans="1:2" x14ac:dyDescent="0.15">
      <c r="A318" s="14" t="s">
        <v>1066</v>
      </c>
      <c r="B318" s="15" t="s">
        <v>1229</v>
      </c>
    </row>
    <row r="319" spans="1:2" x14ac:dyDescent="0.15">
      <c r="A319" s="16" t="s">
        <v>1067</v>
      </c>
      <c r="B319" s="17" t="s">
        <v>1230</v>
      </c>
    </row>
    <row r="320" spans="1:2" x14ac:dyDescent="0.15">
      <c r="A320" s="14" t="s">
        <v>1068</v>
      </c>
      <c r="B320" s="15" t="s">
        <v>1231</v>
      </c>
    </row>
    <row r="321" spans="1:2" x14ac:dyDescent="0.15">
      <c r="A321" s="16" t="s">
        <v>1069</v>
      </c>
      <c r="B321" s="17" t="s">
        <v>1232</v>
      </c>
    </row>
    <row r="322" spans="1:2" x14ac:dyDescent="0.15">
      <c r="A322" s="14" t="s">
        <v>1070</v>
      </c>
      <c r="B322" s="15" t="s">
        <v>1233</v>
      </c>
    </row>
    <row r="323" spans="1:2" x14ac:dyDescent="0.15">
      <c r="A323" s="16" t="s">
        <v>1071</v>
      </c>
      <c r="B323" s="17" t="s">
        <v>1234</v>
      </c>
    </row>
    <row r="324" spans="1:2" x14ac:dyDescent="0.15">
      <c r="A324" s="14" t="s">
        <v>1072</v>
      </c>
      <c r="B324" s="15" t="s">
        <v>1235</v>
      </c>
    </row>
    <row r="325" spans="1:2" x14ac:dyDescent="0.15">
      <c r="A325" s="16" t="s">
        <v>1073</v>
      </c>
      <c r="B325" s="17" t="s">
        <v>1236</v>
      </c>
    </row>
    <row r="326" spans="1:2" x14ac:dyDescent="0.15">
      <c r="A326" s="14" t="s">
        <v>1074</v>
      </c>
      <c r="B326" s="15" t="s">
        <v>1384</v>
      </c>
    </row>
    <row r="327" spans="1:2" x14ac:dyDescent="0.15">
      <c r="A327" s="16" t="s">
        <v>1075</v>
      </c>
      <c r="B327" s="17" t="s">
        <v>1385</v>
      </c>
    </row>
    <row r="328" spans="1:2" x14ac:dyDescent="0.15">
      <c r="A328" s="14" t="s">
        <v>1076</v>
      </c>
      <c r="B328" s="15" t="s">
        <v>1237</v>
      </c>
    </row>
    <row r="329" spans="1:2" x14ac:dyDescent="0.15">
      <c r="A329" s="16" t="s">
        <v>898</v>
      </c>
      <c r="B329" s="17" t="s">
        <v>614</v>
      </c>
    </row>
    <row r="330" spans="1:2" x14ac:dyDescent="0.15">
      <c r="A330" s="14" t="s">
        <v>1077</v>
      </c>
      <c r="B330" s="15" t="s">
        <v>1238</v>
      </c>
    </row>
    <row r="331" spans="1:2" x14ac:dyDescent="0.15">
      <c r="A331" s="16" t="s">
        <v>1078</v>
      </c>
      <c r="B331" s="17" t="s">
        <v>1239</v>
      </c>
    </row>
    <row r="332" spans="1:2" x14ac:dyDescent="0.15">
      <c r="A332" s="14" t="s">
        <v>1079</v>
      </c>
      <c r="B332" s="15" t="s">
        <v>1240</v>
      </c>
    </row>
    <row r="333" spans="1:2" x14ac:dyDescent="0.15">
      <c r="A333" s="16" t="s">
        <v>1080</v>
      </c>
      <c r="B333" s="17" t="s">
        <v>1241</v>
      </c>
    </row>
    <row r="334" spans="1:2" x14ac:dyDescent="0.15">
      <c r="A334" s="14" t="s">
        <v>1081</v>
      </c>
      <c r="B334" s="15" t="s">
        <v>1242</v>
      </c>
    </row>
    <row r="335" spans="1:2" x14ac:dyDescent="0.15">
      <c r="A335" s="16" t="s">
        <v>1082</v>
      </c>
      <c r="B335" s="17" t="s">
        <v>1243</v>
      </c>
    </row>
    <row r="336" spans="1:2" x14ac:dyDescent="0.15">
      <c r="A336" s="14" t="s">
        <v>1083</v>
      </c>
      <c r="B336" s="15" t="s">
        <v>1244</v>
      </c>
    </row>
    <row r="337" spans="1:2" x14ac:dyDescent="0.15">
      <c r="A337" s="16" t="s">
        <v>1084</v>
      </c>
      <c r="B337" s="17" t="s">
        <v>1245</v>
      </c>
    </row>
    <row r="338" spans="1:2" x14ac:dyDescent="0.15">
      <c r="A338" s="14" t="s">
        <v>279</v>
      </c>
      <c r="B338" s="15" t="s">
        <v>615</v>
      </c>
    </row>
    <row r="339" spans="1:2" x14ac:dyDescent="0.15">
      <c r="A339" s="16" t="s">
        <v>899</v>
      </c>
      <c r="B339" s="17" t="s">
        <v>616</v>
      </c>
    </row>
    <row r="340" spans="1:2" x14ac:dyDescent="0.15">
      <c r="A340" s="14" t="s">
        <v>900</v>
      </c>
      <c r="B340" s="15" t="s">
        <v>617</v>
      </c>
    </row>
    <row r="341" spans="1:2" x14ac:dyDescent="0.15">
      <c r="A341" s="16" t="s">
        <v>901</v>
      </c>
      <c r="B341" s="17" t="s">
        <v>618</v>
      </c>
    </row>
    <row r="342" spans="1:2" x14ac:dyDescent="0.15">
      <c r="A342" s="14" t="s">
        <v>902</v>
      </c>
      <c r="B342" s="15" t="s">
        <v>619</v>
      </c>
    </row>
    <row r="343" spans="1:2" x14ac:dyDescent="0.15">
      <c r="A343" s="16" t="s">
        <v>280</v>
      </c>
      <c r="B343" s="17" t="s">
        <v>620</v>
      </c>
    </row>
    <row r="344" spans="1:2" x14ac:dyDescent="0.15">
      <c r="A344" s="14" t="s">
        <v>903</v>
      </c>
      <c r="B344" s="15" t="s">
        <v>621</v>
      </c>
    </row>
    <row r="345" spans="1:2" x14ac:dyDescent="0.15">
      <c r="A345" s="16" t="s">
        <v>281</v>
      </c>
      <c r="B345" s="17" t="s">
        <v>622</v>
      </c>
    </row>
    <row r="346" spans="1:2" x14ac:dyDescent="0.15">
      <c r="A346" s="14" t="s">
        <v>904</v>
      </c>
      <c r="B346" s="15" t="s">
        <v>623</v>
      </c>
    </row>
    <row r="347" spans="1:2" x14ac:dyDescent="0.15">
      <c r="A347" s="16" t="s">
        <v>905</v>
      </c>
      <c r="B347" s="17" t="s">
        <v>624</v>
      </c>
    </row>
    <row r="348" spans="1:2" x14ac:dyDescent="0.15">
      <c r="A348" s="14" t="s">
        <v>282</v>
      </c>
      <c r="B348" s="15" t="s">
        <v>625</v>
      </c>
    </row>
    <row r="349" spans="1:2" x14ac:dyDescent="0.15">
      <c r="A349" s="16" t="s">
        <v>283</v>
      </c>
      <c r="B349" s="17" t="s">
        <v>626</v>
      </c>
    </row>
    <row r="350" spans="1:2" x14ac:dyDescent="0.15">
      <c r="A350" s="14" t="s">
        <v>906</v>
      </c>
      <c r="B350" s="15" t="s">
        <v>627</v>
      </c>
    </row>
    <row r="351" spans="1:2" x14ac:dyDescent="0.15">
      <c r="A351" s="16" t="s">
        <v>907</v>
      </c>
      <c r="B351" s="17" t="s">
        <v>628</v>
      </c>
    </row>
    <row r="352" spans="1:2" x14ac:dyDescent="0.15">
      <c r="A352" s="14" t="s">
        <v>284</v>
      </c>
      <c r="B352" s="15" t="s">
        <v>629</v>
      </c>
    </row>
    <row r="353" spans="1:2" x14ac:dyDescent="0.15">
      <c r="A353" s="16" t="s">
        <v>278</v>
      </c>
      <c r="B353" s="17" t="s">
        <v>630</v>
      </c>
    </row>
    <row r="354" spans="1:2" x14ac:dyDescent="0.15">
      <c r="A354" s="14" t="s">
        <v>285</v>
      </c>
      <c r="B354" s="15" t="s">
        <v>631</v>
      </c>
    </row>
    <row r="355" spans="1:2" x14ac:dyDescent="0.15">
      <c r="A355" s="16" t="s">
        <v>908</v>
      </c>
      <c r="B355" s="17" t="s">
        <v>632</v>
      </c>
    </row>
    <row r="356" spans="1:2" x14ac:dyDescent="0.15">
      <c r="A356" s="14" t="s">
        <v>286</v>
      </c>
      <c r="B356" s="15" t="s">
        <v>633</v>
      </c>
    </row>
    <row r="357" spans="1:2" x14ac:dyDescent="0.15">
      <c r="A357" s="16" t="s">
        <v>909</v>
      </c>
      <c r="B357" s="17" t="s">
        <v>634</v>
      </c>
    </row>
    <row r="358" spans="1:2" x14ac:dyDescent="0.15">
      <c r="A358" s="14" t="s">
        <v>8</v>
      </c>
      <c r="B358" s="15" t="s">
        <v>330</v>
      </c>
    </row>
    <row r="359" spans="1:2" x14ac:dyDescent="0.15">
      <c r="A359" s="16" t="s">
        <v>910</v>
      </c>
      <c r="B359" s="17" t="s">
        <v>635</v>
      </c>
    </row>
    <row r="360" spans="1:2" x14ac:dyDescent="0.15">
      <c r="A360" s="14" t="s">
        <v>911</v>
      </c>
      <c r="B360" s="15" t="s">
        <v>636</v>
      </c>
    </row>
    <row r="361" spans="1:2" x14ac:dyDescent="0.15">
      <c r="A361" s="16" t="s">
        <v>912</v>
      </c>
      <c r="B361" s="17" t="s">
        <v>637</v>
      </c>
    </row>
    <row r="362" spans="1:2" x14ac:dyDescent="0.15">
      <c r="A362" s="14" t="s">
        <v>913</v>
      </c>
      <c r="B362" s="15" t="s">
        <v>638</v>
      </c>
    </row>
    <row r="363" spans="1:2" x14ac:dyDescent="0.15">
      <c r="A363" s="16" t="s">
        <v>914</v>
      </c>
      <c r="B363" s="17" t="s">
        <v>639</v>
      </c>
    </row>
    <row r="364" spans="1:2" x14ac:dyDescent="0.15">
      <c r="A364" s="14" t="s">
        <v>915</v>
      </c>
      <c r="B364" s="15" t="s">
        <v>640</v>
      </c>
    </row>
    <row r="365" spans="1:2" x14ac:dyDescent="0.15">
      <c r="A365" s="16" t="s">
        <v>916</v>
      </c>
      <c r="B365" s="17" t="s">
        <v>641</v>
      </c>
    </row>
    <row r="366" spans="1:2" x14ac:dyDescent="0.15">
      <c r="A366" s="14" t="s">
        <v>917</v>
      </c>
      <c r="B366" s="15" t="s">
        <v>642</v>
      </c>
    </row>
    <row r="367" spans="1:2" x14ac:dyDescent="0.15">
      <c r="A367" s="16" t="s">
        <v>918</v>
      </c>
      <c r="B367" s="17" t="s">
        <v>643</v>
      </c>
    </row>
    <row r="368" spans="1:2" x14ac:dyDescent="0.15">
      <c r="A368" s="14" t="s">
        <v>919</v>
      </c>
      <c r="B368" s="15" t="s">
        <v>644</v>
      </c>
    </row>
    <row r="369" spans="1:2" x14ac:dyDescent="0.15">
      <c r="A369" s="16" t="s">
        <v>1085</v>
      </c>
      <c r="B369" s="17" t="s">
        <v>1246</v>
      </c>
    </row>
    <row r="370" spans="1:2" x14ac:dyDescent="0.15">
      <c r="A370" s="14" t="s">
        <v>1086</v>
      </c>
      <c r="B370" s="15" t="s">
        <v>1247</v>
      </c>
    </row>
    <row r="371" spans="1:2" x14ac:dyDescent="0.15">
      <c r="A371" s="16" t="s">
        <v>1087</v>
      </c>
      <c r="B371" s="17" t="s">
        <v>1248</v>
      </c>
    </row>
    <row r="372" spans="1:2" x14ac:dyDescent="0.15">
      <c r="A372" s="14" t="s">
        <v>9</v>
      </c>
      <c r="B372" s="15" t="s">
        <v>331</v>
      </c>
    </row>
    <row r="373" spans="1:2" x14ac:dyDescent="0.15">
      <c r="A373" s="16" t="s">
        <v>10</v>
      </c>
      <c r="B373" s="17" t="s">
        <v>332</v>
      </c>
    </row>
    <row r="374" spans="1:2" x14ac:dyDescent="0.15">
      <c r="A374" s="14" t="s">
        <v>11</v>
      </c>
      <c r="B374" s="15" t="s">
        <v>333</v>
      </c>
    </row>
    <row r="375" spans="1:2" x14ac:dyDescent="0.15">
      <c r="A375" s="16" t="s">
        <v>12</v>
      </c>
      <c r="B375" s="17" t="s">
        <v>334</v>
      </c>
    </row>
    <row r="376" spans="1:2" x14ac:dyDescent="0.15">
      <c r="A376" s="14" t="s">
        <v>1088</v>
      </c>
      <c r="B376" s="15" t="s">
        <v>1249</v>
      </c>
    </row>
    <row r="377" spans="1:2" x14ac:dyDescent="0.15">
      <c r="A377" s="16" t="s">
        <v>1089</v>
      </c>
      <c r="B377" s="17" t="s">
        <v>1250</v>
      </c>
    </row>
    <row r="378" spans="1:2" x14ac:dyDescent="0.15">
      <c r="A378" s="14" t="s">
        <v>1090</v>
      </c>
      <c r="B378" s="15" t="s">
        <v>1251</v>
      </c>
    </row>
    <row r="379" spans="1:2" x14ac:dyDescent="0.15">
      <c r="A379" s="16" t="s">
        <v>1091</v>
      </c>
      <c r="B379" s="17" t="s">
        <v>1252</v>
      </c>
    </row>
    <row r="380" spans="1:2" x14ac:dyDescent="0.15">
      <c r="A380" s="14" t="s">
        <v>1092</v>
      </c>
      <c r="B380" s="15" t="s">
        <v>1253</v>
      </c>
    </row>
    <row r="381" spans="1:2" x14ac:dyDescent="0.15">
      <c r="A381" s="16" t="s">
        <v>1093</v>
      </c>
      <c r="B381" s="17" t="s">
        <v>1254</v>
      </c>
    </row>
    <row r="382" spans="1:2" x14ac:dyDescent="0.15">
      <c r="A382" s="14" t="s">
        <v>1094</v>
      </c>
      <c r="B382" s="15" t="s">
        <v>1255</v>
      </c>
    </row>
    <row r="383" spans="1:2" x14ac:dyDescent="0.15">
      <c r="A383" s="16" t="s">
        <v>1095</v>
      </c>
      <c r="B383" s="17" t="s">
        <v>1256</v>
      </c>
    </row>
    <row r="384" spans="1:2" x14ac:dyDescent="0.15">
      <c r="A384" s="14" t="s">
        <v>1096</v>
      </c>
      <c r="B384" s="15" t="s">
        <v>1257</v>
      </c>
    </row>
    <row r="385" spans="1:2" x14ac:dyDescent="0.15">
      <c r="A385" s="16" t="s">
        <v>1097</v>
      </c>
      <c r="B385" s="17" t="s">
        <v>1258</v>
      </c>
    </row>
    <row r="386" spans="1:2" x14ac:dyDescent="0.15">
      <c r="A386" s="14" t="s">
        <v>1098</v>
      </c>
      <c r="B386" s="15" t="s">
        <v>1259</v>
      </c>
    </row>
    <row r="387" spans="1:2" x14ac:dyDescent="0.15">
      <c r="A387" s="16" t="s">
        <v>1099</v>
      </c>
      <c r="B387" s="17" t="s">
        <v>1260</v>
      </c>
    </row>
    <row r="388" spans="1:2" x14ac:dyDescent="0.15">
      <c r="A388" s="14" t="s">
        <v>1100</v>
      </c>
      <c r="B388" s="15" t="s">
        <v>1261</v>
      </c>
    </row>
    <row r="389" spans="1:2" x14ac:dyDescent="0.15">
      <c r="A389" s="16" t="s">
        <v>1101</v>
      </c>
      <c r="B389" s="17" t="s">
        <v>1262</v>
      </c>
    </row>
    <row r="390" spans="1:2" x14ac:dyDescent="0.15">
      <c r="A390" s="14" t="s">
        <v>1102</v>
      </c>
      <c r="B390" s="15" t="s">
        <v>1263</v>
      </c>
    </row>
    <row r="391" spans="1:2" x14ac:dyDescent="0.15">
      <c r="A391" s="16" t="s">
        <v>1103</v>
      </c>
      <c r="B391" s="17" t="s">
        <v>1264</v>
      </c>
    </row>
    <row r="392" spans="1:2" x14ac:dyDescent="0.15">
      <c r="A392" s="14" t="s">
        <v>1104</v>
      </c>
      <c r="B392" s="15" t="s">
        <v>1265</v>
      </c>
    </row>
    <row r="393" spans="1:2" x14ac:dyDescent="0.15">
      <c r="A393" s="16" t="s">
        <v>1105</v>
      </c>
      <c r="B393" s="17" t="s">
        <v>1266</v>
      </c>
    </row>
    <row r="394" spans="1:2" x14ac:dyDescent="0.15">
      <c r="A394" s="14" t="s">
        <v>1106</v>
      </c>
      <c r="B394" s="15" t="s">
        <v>1267</v>
      </c>
    </row>
    <row r="395" spans="1:2" x14ac:dyDescent="0.15">
      <c r="A395" s="16" t="s">
        <v>13</v>
      </c>
      <c r="B395" s="17" t="s">
        <v>335</v>
      </c>
    </row>
    <row r="396" spans="1:2" x14ac:dyDescent="0.15">
      <c r="A396" s="14" t="s">
        <v>920</v>
      </c>
      <c r="B396" s="15" t="s">
        <v>645</v>
      </c>
    </row>
    <row r="397" spans="1:2" x14ac:dyDescent="0.15">
      <c r="A397" s="16" t="s">
        <v>20</v>
      </c>
      <c r="B397" s="17" t="s">
        <v>336</v>
      </c>
    </row>
    <row r="398" spans="1:2" x14ac:dyDescent="0.15">
      <c r="A398" s="14" t="s">
        <v>921</v>
      </c>
      <c r="B398" s="15" t="s">
        <v>646</v>
      </c>
    </row>
    <row r="399" spans="1:2" x14ac:dyDescent="0.15">
      <c r="A399" s="16" t="s">
        <v>922</v>
      </c>
      <c r="B399" s="17" t="s">
        <v>647</v>
      </c>
    </row>
    <row r="400" spans="1:2" x14ac:dyDescent="0.15">
      <c r="A400" s="14" t="s">
        <v>993</v>
      </c>
      <c r="B400" s="15" t="s">
        <v>964</v>
      </c>
    </row>
    <row r="401" spans="1:2" x14ac:dyDescent="0.15">
      <c r="A401" s="16" t="s">
        <v>21</v>
      </c>
      <c r="B401" s="17" t="s">
        <v>337</v>
      </c>
    </row>
    <row r="402" spans="1:2" x14ac:dyDescent="0.15">
      <c r="A402" s="14" t="s">
        <v>994</v>
      </c>
      <c r="B402" s="15" t="s">
        <v>965</v>
      </c>
    </row>
    <row r="403" spans="1:2" x14ac:dyDescent="0.15">
      <c r="A403" s="16" t="s">
        <v>995</v>
      </c>
      <c r="B403" s="17" t="s">
        <v>648</v>
      </c>
    </row>
    <row r="404" spans="1:2" x14ac:dyDescent="0.15">
      <c r="A404" s="14" t="s">
        <v>996</v>
      </c>
      <c r="B404" s="15" t="s">
        <v>966</v>
      </c>
    </row>
    <row r="405" spans="1:2" x14ac:dyDescent="0.15">
      <c r="A405" s="16" t="s">
        <v>997</v>
      </c>
      <c r="B405" s="17" t="s">
        <v>338</v>
      </c>
    </row>
    <row r="406" spans="1:2" x14ac:dyDescent="0.15">
      <c r="A406" s="14" t="s">
        <v>998</v>
      </c>
      <c r="B406" s="15" t="s">
        <v>1386</v>
      </c>
    </row>
    <row r="407" spans="1:2" x14ac:dyDescent="0.15">
      <c r="A407" s="16" t="s">
        <v>999</v>
      </c>
      <c r="B407" s="17" t="s">
        <v>1387</v>
      </c>
    </row>
    <row r="408" spans="1:2" x14ac:dyDescent="0.15">
      <c r="A408" s="14" t="s">
        <v>1000</v>
      </c>
      <c r="B408" s="15" t="s">
        <v>1388</v>
      </c>
    </row>
    <row r="409" spans="1:2" x14ac:dyDescent="0.15">
      <c r="A409" s="16" t="s">
        <v>22</v>
      </c>
      <c r="B409" s="17" t="s">
        <v>339</v>
      </c>
    </row>
    <row r="410" spans="1:2" x14ac:dyDescent="0.15">
      <c r="A410" s="14" t="s">
        <v>1001</v>
      </c>
      <c r="B410" s="15" t="s">
        <v>1268</v>
      </c>
    </row>
    <row r="411" spans="1:2" x14ac:dyDescent="0.15">
      <c r="A411" s="16" t="s">
        <v>923</v>
      </c>
      <c r="B411" s="17" t="s">
        <v>649</v>
      </c>
    </row>
    <row r="412" spans="1:2" x14ac:dyDescent="0.15">
      <c r="A412" s="14" t="s">
        <v>1002</v>
      </c>
      <c r="B412" s="15" t="s">
        <v>1269</v>
      </c>
    </row>
    <row r="413" spans="1:2" x14ac:dyDescent="0.15">
      <c r="A413" s="16" t="s">
        <v>23</v>
      </c>
      <c r="B413" s="17" t="s">
        <v>340</v>
      </c>
    </row>
    <row r="414" spans="1:2" x14ac:dyDescent="0.15">
      <c r="A414" s="14" t="s">
        <v>1003</v>
      </c>
      <c r="B414" s="15" t="s">
        <v>1270</v>
      </c>
    </row>
    <row r="415" spans="1:2" x14ac:dyDescent="0.15">
      <c r="A415" s="16" t="s">
        <v>924</v>
      </c>
      <c r="B415" s="17" t="s">
        <v>650</v>
      </c>
    </row>
    <row r="416" spans="1:2" x14ac:dyDescent="0.15">
      <c r="A416" s="14" t="s">
        <v>1004</v>
      </c>
      <c r="B416" s="15" t="s">
        <v>1271</v>
      </c>
    </row>
    <row r="417" spans="1:2" x14ac:dyDescent="0.15">
      <c r="A417" s="16" t="s">
        <v>24</v>
      </c>
      <c r="B417" s="17" t="s">
        <v>341</v>
      </c>
    </row>
    <row r="418" spans="1:2" x14ac:dyDescent="0.15">
      <c r="A418" s="14" t="s">
        <v>1005</v>
      </c>
      <c r="B418" s="15" t="s">
        <v>1272</v>
      </c>
    </row>
    <row r="419" spans="1:2" x14ac:dyDescent="0.15">
      <c r="A419" s="16" t="s">
        <v>925</v>
      </c>
      <c r="B419" s="17" t="s">
        <v>651</v>
      </c>
    </row>
    <row r="420" spans="1:2" x14ac:dyDescent="0.15">
      <c r="A420" s="14" t="s">
        <v>1006</v>
      </c>
      <c r="B420" s="15" t="s">
        <v>1273</v>
      </c>
    </row>
    <row r="421" spans="1:2" x14ac:dyDescent="0.15">
      <c r="A421" s="16" t="s">
        <v>1107</v>
      </c>
      <c r="B421" s="17" t="s">
        <v>1274</v>
      </c>
    </row>
    <row r="422" spans="1:2" x14ac:dyDescent="0.15">
      <c r="A422" s="14" t="s">
        <v>1108</v>
      </c>
      <c r="B422" s="15" t="s">
        <v>1275</v>
      </c>
    </row>
    <row r="423" spans="1:2" x14ac:dyDescent="0.15">
      <c r="A423" s="16" t="s">
        <v>1109</v>
      </c>
      <c r="B423" s="17" t="s">
        <v>1276</v>
      </c>
    </row>
    <row r="424" spans="1:2" x14ac:dyDescent="0.15">
      <c r="A424" s="14" t="s">
        <v>1110</v>
      </c>
      <c r="B424" s="15" t="s">
        <v>1277</v>
      </c>
    </row>
    <row r="425" spans="1:2" x14ac:dyDescent="0.15">
      <c r="A425" s="16" t="s">
        <v>1110</v>
      </c>
      <c r="B425" s="17" t="s">
        <v>1277</v>
      </c>
    </row>
    <row r="426" spans="1:2" x14ac:dyDescent="0.15">
      <c r="A426" s="14" t="s">
        <v>1111</v>
      </c>
      <c r="B426" s="15" t="s">
        <v>1389</v>
      </c>
    </row>
    <row r="427" spans="1:2" x14ac:dyDescent="0.15">
      <c r="A427" s="16" t="s">
        <v>1112</v>
      </c>
      <c r="B427" s="17" t="s">
        <v>1390</v>
      </c>
    </row>
    <row r="428" spans="1:2" x14ac:dyDescent="0.15">
      <c r="A428" s="14" t="s">
        <v>1113</v>
      </c>
      <c r="B428" s="15" t="s">
        <v>1278</v>
      </c>
    </row>
    <row r="429" spans="1:2" x14ac:dyDescent="0.15">
      <c r="A429" s="16" t="s">
        <v>1114</v>
      </c>
      <c r="B429" s="17" t="s">
        <v>1279</v>
      </c>
    </row>
    <row r="430" spans="1:2" x14ac:dyDescent="0.15">
      <c r="A430" s="14" t="s">
        <v>1115</v>
      </c>
      <c r="B430" s="15" t="s">
        <v>1280</v>
      </c>
    </row>
    <row r="431" spans="1:2" x14ac:dyDescent="0.15">
      <c r="A431" s="16" t="s">
        <v>1116</v>
      </c>
      <c r="B431" s="17" t="s">
        <v>1281</v>
      </c>
    </row>
    <row r="432" spans="1:2" x14ac:dyDescent="0.15">
      <c r="A432" s="14" t="s">
        <v>1117</v>
      </c>
      <c r="B432" s="15" t="s">
        <v>1282</v>
      </c>
    </row>
    <row r="433" spans="1:2" x14ac:dyDescent="0.15">
      <c r="A433" s="16" t="s">
        <v>1118</v>
      </c>
      <c r="B433" s="17" t="s">
        <v>1283</v>
      </c>
    </row>
    <row r="434" spans="1:2" x14ac:dyDescent="0.15">
      <c r="A434" s="14" t="s">
        <v>1119</v>
      </c>
      <c r="B434" s="15" t="s">
        <v>1284</v>
      </c>
    </row>
    <row r="435" spans="1:2" x14ac:dyDescent="0.15">
      <c r="A435" s="16" t="s">
        <v>1120</v>
      </c>
      <c r="B435" s="17" t="s">
        <v>1285</v>
      </c>
    </row>
    <row r="436" spans="1:2" x14ac:dyDescent="0.15">
      <c r="A436" s="14" t="s">
        <v>1121</v>
      </c>
      <c r="B436" s="15" t="s">
        <v>1286</v>
      </c>
    </row>
    <row r="437" spans="1:2" x14ac:dyDescent="0.15">
      <c r="A437" s="16" t="s">
        <v>926</v>
      </c>
      <c r="B437" s="17" t="s">
        <v>652</v>
      </c>
    </row>
    <row r="438" spans="1:2" x14ac:dyDescent="0.15">
      <c r="A438" s="14" t="s">
        <v>927</v>
      </c>
      <c r="B438" s="15" t="s">
        <v>653</v>
      </c>
    </row>
    <row r="439" spans="1:2" x14ac:dyDescent="0.15">
      <c r="A439" s="16" t="s">
        <v>928</v>
      </c>
      <c r="B439" s="17" t="s">
        <v>657</v>
      </c>
    </row>
    <row r="440" spans="1:2" x14ac:dyDescent="0.15">
      <c r="A440" s="14" t="s">
        <v>929</v>
      </c>
      <c r="B440" s="15" t="s">
        <v>654</v>
      </c>
    </row>
    <row r="441" spans="1:2" x14ac:dyDescent="0.15">
      <c r="A441" s="16" t="s">
        <v>930</v>
      </c>
      <c r="B441" s="17" t="s">
        <v>655</v>
      </c>
    </row>
    <row r="442" spans="1:2" x14ac:dyDescent="0.15">
      <c r="A442" s="14" t="s">
        <v>931</v>
      </c>
      <c r="B442" s="15" t="s">
        <v>656</v>
      </c>
    </row>
    <row r="443" spans="1:2" x14ac:dyDescent="0.15">
      <c r="A443" s="16" t="s">
        <v>932</v>
      </c>
      <c r="B443" s="17" t="s">
        <v>657</v>
      </c>
    </row>
    <row r="444" spans="1:2" x14ac:dyDescent="0.15">
      <c r="A444" s="14" t="s">
        <v>933</v>
      </c>
      <c r="B444" s="15" t="s">
        <v>658</v>
      </c>
    </row>
    <row r="445" spans="1:2" x14ac:dyDescent="0.15">
      <c r="A445" s="16" t="s">
        <v>934</v>
      </c>
      <c r="B445" s="17" t="s">
        <v>659</v>
      </c>
    </row>
    <row r="446" spans="1:2" x14ac:dyDescent="0.15">
      <c r="A446" s="14" t="s">
        <v>935</v>
      </c>
      <c r="B446" s="15" t="s">
        <v>660</v>
      </c>
    </row>
    <row r="447" spans="1:2" x14ac:dyDescent="0.15">
      <c r="A447" s="16" t="s">
        <v>936</v>
      </c>
      <c r="B447" s="17" t="s">
        <v>661</v>
      </c>
    </row>
    <row r="448" spans="1:2" x14ac:dyDescent="0.15">
      <c r="A448" s="14" t="s">
        <v>937</v>
      </c>
      <c r="B448" s="15" t="s">
        <v>662</v>
      </c>
    </row>
    <row r="449" spans="1:2" x14ac:dyDescent="0.15">
      <c r="A449" s="16" t="s">
        <v>938</v>
      </c>
      <c r="B449" s="17" t="s">
        <v>663</v>
      </c>
    </row>
    <row r="450" spans="1:2" x14ac:dyDescent="0.15">
      <c r="A450" s="14" t="s">
        <v>939</v>
      </c>
      <c r="B450" s="15" t="s">
        <v>664</v>
      </c>
    </row>
    <row r="451" spans="1:2" x14ac:dyDescent="0.15">
      <c r="A451" s="16" t="s">
        <v>940</v>
      </c>
      <c r="B451" s="17" t="s">
        <v>665</v>
      </c>
    </row>
    <row r="452" spans="1:2" x14ac:dyDescent="0.15">
      <c r="A452" s="14" t="s">
        <v>51</v>
      </c>
      <c r="B452" s="15" t="s">
        <v>344</v>
      </c>
    </row>
    <row r="453" spans="1:2" x14ac:dyDescent="0.15">
      <c r="A453" s="16" t="s">
        <v>1007</v>
      </c>
      <c r="B453" s="17" t="s">
        <v>967</v>
      </c>
    </row>
    <row r="454" spans="1:2" x14ac:dyDescent="0.15">
      <c r="A454" s="14" t="s">
        <v>52</v>
      </c>
      <c r="B454" s="15" t="s">
        <v>345</v>
      </c>
    </row>
    <row r="455" spans="1:2" x14ac:dyDescent="0.15">
      <c r="A455" s="16" t="s">
        <v>941</v>
      </c>
      <c r="B455" s="17" t="s">
        <v>666</v>
      </c>
    </row>
    <row r="456" spans="1:2" x14ac:dyDescent="0.15">
      <c r="A456" s="14" t="s">
        <v>1008</v>
      </c>
      <c r="B456" s="15" t="s">
        <v>968</v>
      </c>
    </row>
    <row r="457" spans="1:2" x14ac:dyDescent="0.15">
      <c r="A457" s="16" t="s">
        <v>53</v>
      </c>
      <c r="B457" s="17" t="s">
        <v>346</v>
      </c>
    </row>
    <row r="458" spans="1:2" x14ac:dyDescent="0.15">
      <c r="A458" s="14" t="s">
        <v>1009</v>
      </c>
      <c r="B458" s="15" t="s">
        <v>969</v>
      </c>
    </row>
    <row r="459" spans="1:2" x14ac:dyDescent="0.15">
      <c r="A459" s="16" t="s">
        <v>54</v>
      </c>
      <c r="B459" s="17" t="s">
        <v>353</v>
      </c>
    </row>
    <row r="460" spans="1:2" x14ac:dyDescent="0.15">
      <c r="A460" s="14" t="s">
        <v>1010</v>
      </c>
      <c r="B460" s="15" t="s">
        <v>970</v>
      </c>
    </row>
    <row r="461" spans="1:2" x14ac:dyDescent="0.15">
      <c r="A461" s="16" t="s">
        <v>942</v>
      </c>
      <c r="B461" s="17" t="s">
        <v>667</v>
      </c>
    </row>
    <row r="462" spans="1:2" x14ac:dyDescent="0.15">
      <c r="A462" s="14" t="s">
        <v>1011</v>
      </c>
      <c r="B462" s="15" t="s">
        <v>971</v>
      </c>
    </row>
    <row r="463" spans="1:2" x14ac:dyDescent="0.15">
      <c r="A463" s="16" t="s">
        <v>1012</v>
      </c>
      <c r="B463" s="17" t="s">
        <v>972</v>
      </c>
    </row>
    <row r="464" spans="1:2" x14ac:dyDescent="0.15">
      <c r="A464" s="14" t="s">
        <v>1013</v>
      </c>
      <c r="B464" s="15" t="s">
        <v>973</v>
      </c>
    </row>
    <row r="465" spans="1:2" x14ac:dyDescent="0.15">
      <c r="A465" s="16" t="s">
        <v>55</v>
      </c>
      <c r="B465" s="17" t="s">
        <v>347</v>
      </c>
    </row>
    <row r="466" spans="1:2" x14ac:dyDescent="0.15">
      <c r="A466" s="14" t="s">
        <v>1014</v>
      </c>
      <c r="B466" s="15" t="s">
        <v>974</v>
      </c>
    </row>
    <row r="467" spans="1:2" x14ac:dyDescent="0.15">
      <c r="A467" s="16" t="s">
        <v>56</v>
      </c>
      <c r="B467" s="17" t="s">
        <v>348</v>
      </c>
    </row>
    <row r="468" spans="1:2" x14ac:dyDescent="0.15">
      <c r="A468" s="14" t="s">
        <v>1015</v>
      </c>
      <c r="B468" s="15" t="s">
        <v>975</v>
      </c>
    </row>
    <row r="469" spans="1:2" x14ac:dyDescent="0.15">
      <c r="A469" s="16" t="s">
        <v>57</v>
      </c>
      <c r="B469" s="17" t="s">
        <v>349</v>
      </c>
    </row>
    <row r="470" spans="1:2" x14ac:dyDescent="0.15">
      <c r="A470" s="14" t="s">
        <v>1016</v>
      </c>
      <c r="B470" s="15" t="s">
        <v>976</v>
      </c>
    </row>
    <row r="471" spans="1:2" x14ac:dyDescent="0.15">
      <c r="A471" s="16" t="s">
        <v>58</v>
      </c>
      <c r="B471" s="17" t="s">
        <v>350</v>
      </c>
    </row>
    <row r="472" spans="1:2" x14ac:dyDescent="0.15">
      <c r="A472" s="14" t="s">
        <v>1017</v>
      </c>
      <c r="B472" s="15" t="s">
        <v>977</v>
      </c>
    </row>
    <row r="473" spans="1:2" x14ac:dyDescent="0.15">
      <c r="A473" s="16" t="s">
        <v>59</v>
      </c>
      <c r="B473" s="17" t="s">
        <v>351</v>
      </c>
    </row>
    <row r="474" spans="1:2" x14ac:dyDescent="0.15">
      <c r="A474" s="14" t="s">
        <v>1018</v>
      </c>
      <c r="B474" s="15" t="s">
        <v>978</v>
      </c>
    </row>
    <row r="475" spans="1:2" x14ac:dyDescent="0.15">
      <c r="A475" s="16" t="s">
        <v>60</v>
      </c>
      <c r="B475" s="17" t="s">
        <v>352</v>
      </c>
    </row>
    <row r="476" spans="1:2" x14ac:dyDescent="0.15">
      <c r="A476" s="14" t="s">
        <v>1019</v>
      </c>
      <c r="B476" s="15" t="s">
        <v>979</v>
      </c>
    </row>
    <row r="477" spans="1:2" x14ac:dyDescent="0.15">
      <c r="A477" s="16" t="s">
        <v>14</v>
      </c>
      <c r="B477" s="17" t="s">
        <v>146</v>
      </c>
    </row>
    <row r="478" spans="1:2" x14ac:dyDescent="0.15">
      <c r="A478" s="14" t="s">
        <v>1122</v>
      </c>
      <c r="B478" s="15" t="s">
        <v>1287</v>
      </c>
    </row>
    <row r="479" spans="1:2" x14ac:dyDescent="0.15">
      <c r="A479" s="16" t="s">
        <v>1123</v>
      </c>
      <c r="B479" s="17" t="s">
        <v>1288</v>
      </c>
    </row>
    <row r="480" spans="1:2" x14ac:dyDescent="0.15">
      <c r="A480" s="14" t="s">
        <v>1124</v>
      </c>
      <c r="B480" s="15" t="s">
        <v>1289</v>
      </c>
    </row>
    <row r="481" spans="1:2" x14ac:dyDescent="0.15">
      <c r="A481" s="16" t="s">
        <v>1125</v>
      </c>
      <c r="B481" s="17" t="s">
        <v>1290</v>
      </c>
    </row>
    <row r="482" spans="1:2" x14ac:dyDescent="0.15">
      <c r="A482" s="14" t="s">
        <v>1126</v>
      </c>
      <c r="B482" s="15" t="s">
        <v>1291</v>
      </c>
    </row>
    <row r="483" spans="1:2" x14ac:dyDescent="0.15">
      <c r="A483" s="16" t="s">
        <v>1127</v>
      </c>
      <c r="B483" s="17" t="s">
        <v>1292</v>
      </c>
    </row>
    <row r="484" spans="1:2" x14ac:dyDescent="0.15">
      <c r="A484" s="14" t="s">
        <v>1128</v>
      </c>
      <c r="B484" s="15" t="s">
        <v>1293</v>
      </c>
    </row>
    <row r="485" spans="1:2" x14ac:dyDescent="0.15">
      <c r="A485" s="16" t="s">
        <v>1129</v>
      </c>
      <c r="B485" s="17" t="s">
        <v>1294</v>
      </c>
    </row>
    <row r="486" spans="1:2" x14ac:dyDescent="0.15">
      <c r="A486" s="14" t="s">
        <v>289</v>
      </c>
      <c r="B486" s="15" t="s">
        <v>147</v>
      </c>
    </row>
    <row r="487" spans="1:2" x14ac:dyDescent="0.15">
      <c r="A487" s="16" t="s">
        <v>1130</v>
      </c>
      <c r="B487" s="17" t="s">
        <v>1295</v>
      </c>
    </row>
    <row r="488" spans="1:2" x14ac:dyDescent="0.15">
      <c r="A488" s="14" t="s">
        <v>1131</v>
      </c>
      <c r="B488" s="15" t="s">
        <v>1296</v>
      </c>
    </row>
    <row r="489" spans="1:2" x14ac:dyDescent="0.15">
      <c r="A489" s="16" t="s">
        <v>1132</v>
      </c>
      <c r="B489" s="17" t="s">
        <v>1297</v>
      </c>
    </row>
    <row r="490" spans="1:2" x14ac:dyDescent="0.15">
      <c r="A490" s="14" t="s">
        <v>1133</v>
      </c>
      <c r="B490" s="15" t="s">
        <v>1298</v>
      </c>
    </row>
    <row r="491" spans="1:2" x14ac:dyDescent="0.15">
      <c r="A491" s="16" t="s">
        <v>1134</v>
      </c>
      <c r="B491" s="17" t="s">
        <v>1299</v>
      </c>
    </row>
    <row r="492" spans="1:2" x14ac:dyDescent="0.15">
      <c r="A492" s="14" t="s">
        <v>1135</v>
      </c>
      <c r="B492" s="15" t="s">
        <v>1300</v>
      </c>
    </row>
    <row r="493" spans="1:2" x14ac:dyDescent="0.15">
      <c r="A493" s="16" t="s">
        <v>1136</v>
      </c>
      <c r="B493" s="17" t="s">
        <v>1301</v>
      </c>
    </row>
    <row r="494" spans="1:2" x14ac:dyDescent="0.15">
      <c r="A494" s="14" t="s">
        <v>1137</v>
      </c>
      <c r="B494" s="15" t="s">
        <v>1302</v>
      </c>
    </row>
    <row r="495" spans="1:2" x14ac:dyDescent="0.15">
      <c r="A495" s="16" t="s">
        <v>943</v>
      </c>
      <c r="B495" s="17" t="s">
        <v>1303</v>
      </c>
    </row>
    <row r="496" spans="1:2" x14ac:dyDescent="0.15">
      <c r="A496" s="14" t="s">
        <v>1138</v>
      </c>
      <c r="B496" s="15" t="s">
        <v>1304</v>
      </c>
    </row>
    <row r="497" spans="1:2" x14ac:dyDescent="0.15">
      <c r="A497" s="16" t="s">
        <v>1139</v>
      </c>
      <c r="B497" s="17" t="s">
        <v>1305</v>
      </c>
    </row>
    <row r="498" spans="1:2" x14ac:dyDescent="0.15">
      <c r="A498" s="14" t="s">
        <v>1140</v>
      </c>
      <c r="B498" s="15" t="s">
        <v>1306</v>
      </c>
    </row>
    <row r="499" spans="1:2" x14ac:dyDescent="0.15">
      <c r="A499" s="16" t="s">
        <v>1141</v>
      </c>
      <c r="B499" s="17" t="s">
        <v>1307</v>
      </c>
    </row>
    <row r="500" spans="1:2" x14ac:dyDescent="0.15">
      <c r="A500" s="14" t="s">
        <v>1142</v>
      </c>
      <c r="B500" s="15" t="s">
        <v>1308</v>
      </c>
    </row>
    <row r="501" spans="1:2" x14ac:dyDescent="0.15">
      <c r="A501" s="16" t="s">
        <v>1143</v>
      </c>
      <c r="B501" s="17" t="s">
        <v>1309</v>
      </c>
    </row>
    <row r="502" spans="1:2" x14ac:dyDescent="0.15">
      <c r="A502" s="14" t="s">
        <v>1144</v>
      </c>
      <c r="B502" s="15" t="s">
        <v>1310</v>
      </c>
    </row>
    <row r="503" spans="1:2" x14ac:dyDescent="0.15">
      <c r="A503" s="16" t="s">
        <v>1145</v>
      </c>
      <c r="B503" s="17" t="s">
        <v>1311</v>
      </c>
    </row>
    <row r="504" spans="1:2" x14ac:dyDescent="0.15">
      <c r="A504" s="14" t="s">
        <v>291</v>
      </c>
      <c r="B504" s="15" t="s">
        <v>159</v>
      </c>
    </row>
    <row r="505" spans="1:2" x14ac:dyDescent="0.15">
      <c r="A505" s="16" t="s">
        <v>1146</v>
      </c>
      <c r="B505" s="17" t="s">
        <v>1312</v>
      </c>
    </row>
    <row r="506" spans="1:2" x14ac:dyDescent="0.15">
      <c r="A506" s="14" t="s">
        <v>1147</v>
      </c>
      <c r="B506" s="15" t="s">
        <v>1313</v>
      </c>
    </row>
    <row r="507" spans="1:2" x14ac:dyDescent="0.15">
      <c r="A507" s="16" t="s">
        <v>1148</v>
      </c>
      <c r="B507" s="17" t="s">
        <v>1314</v>
      </c>
    </row>
    <row r="508" spans="1:2" x14ac:dyDescent="0.15">
      <c r="A508" s="14" t="s">
        <v>1149</v>
      </c>
      <c r="B508" s="15" t="s">
        <v>1315</v>
      </c>
    </row>
    <row r="509" spans="1:2" x14ac:dyDescent="0.15">
      <c r="A509" s="16" t="s">
        <v>1150</v>
      </c>
      <c r="B509" s="17" t="s">
        <v>1316</v>
      </c>
    </row>
    <row r="510" spans="1:2" x14ac:dyDescent="0.15">
      <c r="A510" s="14" t="s">
        <v>1151</v>
      </c>
      <c r="B510" s="15" t="s">
        <v>1317</v>
      </c>
    </row>
    <row r="511" spans="1:2" x14ac:dyDescent="0.15">
      <c r="A511" s="16" t="s">
        <v>1152</v>
      </c>
      <c r="B511" s="17" t="s">
        <v>1318</v>
      </c>
    </row>
    <row r="512" spans="1:2" x14ac:dyDescent="0.15">
      <c r="A512" s="14" t="s">
        <v>1153</v>
      </c>
      <c r="B512" s="15" t="s">
        <v>1319</v>
      </c>
    </row>
    <row r="513" spans="1:2" x14ac:dyDescent="0.15">
      <c r="A513" s="16" t="s">
        <v>292</v>
      </c>
      <c r="B513" s="17" t="s">
        <v>160</v>
      </c>
    </row>
    <row r="514" spans="1:2" x14ac:dyDescent="0.15">
      <c r="A514" s="14" t="s">
        <v>1154</v>
      </c>
      <c r="B514" s="15" t="s">
        <v>1320</v>
      </c>
    </row>
    <row r="515" spans="1:2" x14ac:dyDescent="0.15">
      <c r="A515" s="16" t="s">
        <v>1155</v>
      </c>
      <c r="B515" s="17" t="s">
        <v>1321</v>
      </c>
    </row>
    <row r="516" spans="1:2" x14ac:dyDescent="0.15">
      <c r="A516" s="14" t="s">
        <v>1156</v>
      </c>
      <c r="B516" s="15" t="s">
        <v>1322</v>
      </c>
    </row>
    <row r="517" spans="1:2" x14ac:dyDescent="0.15">
      <c r="A517" s="16" t="s">
        <v>1157</v>
      </c>
      <c r="B517" s="17" t="s">
        <v>1323</v>
      </c>
    </row>
    <row r="518" spans="1:2" x14ac:dyDescent="0.15">
      <c r="A518" s="14" t="s">
        <v>1158</v>
      </c>
      <c r="B518" s="15" t="s">
        <v>1324</v>
      </c>
    </row>
    <row r="519" spans="1:2" x14ac:dyDescent="0.15">
      <c r="A519" s="16" t="s">
        <v>1159</v>
      </c>
      <c r="B519" s="17" t="s">
        <v>1325</v>
      </c>
    </row>
    <row r="520" spans="1:2" x14ac:dyDescent="0.15">
      <c r="A520" s="14" t="s">
        <v>1160</v>
      </c>
      <c r="B520" s="15" t="s">
        <v>1326</v>
      </c>
    </row>
    <row r="521" spans="1:2" x14ac:dyDescent="0.15">
      <c r="A521" s="16" t="s">
        <v>1161</v>
      </c>
      <c r="B521" s="17" t="s">
        <v>1327</v>
      </c>
    </row>
    <row r="522" spans="1:2" x14ac:dyDescent="0.15">
      <c r="A522" s="14" t="s">
        <v>293</v>
      </c>
      <c r="B522" s="15" t="s">
        <v>342</v>
      </c>
    </row>
    <row r="523" spans="1:2" x14ac:dyDescent="0.15">
      <c r="A523" s="16" t="s">
        <v>1162</v>
      </c>
      <c r="B523" s="17" t="s">
        <v>1328</v>
      </c>
    </row>
    <row r="524" spans="1:2" x14ac:dyDescent="0.15">
      <c r="A524" s="14" t="s">
        <v>1163</v>
      </c>
      <c r="B524" s="15" t="s">
        <v>1329</v>
      </c>
    </row>
    <row r="525" spans="1:2" x14ac:dyDescent="0.15">
      <c r="A525" s="16" t="s">
        <v>1164</v>
      </c>
      <c r="B525" s="17" t="s">
        <v>1330</v>
      </c>
    </row>
    <row r="526" spans="1:2" x14ac:dyDescent="0.15">
      <c r="A526" s="14" t="s">
        <v>1165</v>
      </c>
      <c r="B526" s="15" t="s">
        <v>1331</v>
      </c>
    </row>
    <row r="527" spans="1:2" x14ac:dyDescent="0.15">
      <c r="A527" s="16" t="s">
        <v>1166</v>
      </c>
      <c r="B527" s="17" t="s">
        <v>1332</v>
      </c>
    </row>
    <row r="528" spans="1:2" x14ac:dyDescent="0.15">
      <c r="A528" s="14" t="s">
        <v>1167</v>
      </c>
      <c r="B528" s="15" t="s">
        <v>1333</v>
      </c>
    </row>
    <row r="529" spans="1:2" x14ac:dyDescent="0.15">
      <c r="A529" s="16" t="s">
        <v>1168</v>
      </c>
      <c r="B529" s="17" t="s">
        <v>1334</v>
      </c>
    </row>
    <row r="530" spans="1:2" x14ac:dyDescent="0.15">
      <c r="A530" s="14" t="s">
        <v>1169</v>
      </c>
      <c r="B530" s="15" t="s">
        <v>1335</v>
      </c>
    </row>
    <row r="531" spans="1:2" x14ac:dyDescent="0.15">
      <c r="A531" s="16" t="s">
        <v>25</v>
      </c>
      <c r="B531" s="17" t="s">
        <v>161</v>
      </c>
    </row>
    <row r="532" spans="1:2" x14ac:dyDescent="0.15">
      <c r="A532" s="14" t="s">
        <v>1170</v>
      </c>
      <c r="B532" s="15" t="s">
        <v>1336</v>
      </c>
    </row>
    <row r="533" spans="1:2" x14ac:dyDescent="0.15">
      <c r="A533" s="16" t="s">
        <v>1171</v>
      </c>
      <c r="B533" s="17" t="s">
        <v>1337</v>
      </c>
    </row>
    <row r="534" spans="1:2" x14ac:dyDescent="0.15">
      <c r="A534" s="14" t="s">
        <v>1172</v>
      </c>
      <c r="B534" s="15" t="s">
        <v>1338</v>
      </c>
    </row>
    <row r="535" spans="1:2" x14ac:dyDescent="0.15">
      <c r="A535" s="16" t="s">
        <v>1173</v>
      </c>
      <c r="B535" s="17" t="s">
        <v>1339</v>
      </c>
    </row>
    <row r="536" spans="1:2" x14ac:dyDescent="0.15">
      <c r="A536" s="14" t="s">
        <v>1174</v>
      </c>
      <c r="B536" s="15" t="s">
        <v>1340</v>
      </c>
    </row>
    <row r="537" spans="1:2" x14ac:dyDescent="0.15">
      <c r="A537" s="16" t="s">
        <v>1175</v>
      </c>
      <c r="B537" s="17" t="s">
        <v>1341</v>
      </c>
    </row>
    <row r="538" spans="1:2" x14ac:dyDescent="0.15">
      <c r="A538" s="14" t="s">
        <v>1176</v>
      </c>
      <c r="B538" s="15" t="s">
        <v>1342</v>
      </c>
    </row>
    <row r="539" spans="1:2" x14ac:dyDescent="0.15">
      <c r="A539" s="16" t="s">
        <v>1177</v>
      </c>
      <c r="B539" s="17" t="s">
        <v>1343</v>
      </c>
    </row>
    <row r="540" spans="1:2" x14ac:dyDescent="0.15">
      <c r="A540" s="14" t="s">
        <v>26</v>
      </c>
      <c r="B540" s="15" t="s">
        <v>162</v>
      </c>
    </row>
    <row r="541" spans="1:2" x14ac:dyDescent="0.15">
      <c r="A541" s="16" t="s">
        <v>1178</v>
      </c>
      <c r="B541" s="17" t="s">
        <v>1344</v>
      </c>
    </row>
    <row r="542" spans="1:2" x14ac:dyDescent="0.15">
      <c r="A542" s="14" t="s">
        <v>1179</v>
      </c>
      <c r="B542" s="15" t="s">
        <v>1345</v>
      </c>
    </row>
    <row r="543" spans="1:2" x14ac:dyDescent="0.15">
      <c r="A543" s="16" t="s">
        <v>1180</v>
      </c>
      <c r="B543" s="17" t="s">
        <v>1346</v>
      </c>
    </row>
    <row r="544" spans="1:2" x14ac:dyDescent="0.15">
      <c r="A544" s="14" t="s">
        <v>1181</v>
      </c>
      <c r="B544" s="15" t="s">
        <v>1347</v>
      </c>
    </row>
    <row r="545" spans="1:2" x14ac:dyDescent="0.15">
      <c r="A545" s="16" t="s">
        <v>1182</v>
      </c>
      <c r="B545" s="17" t="s">
        <v>1348</v>
      </c>
    </row>
    <row r="546" spans="1:2" x14ac:dyDescent="0.15">
      <c r="A546" s="14" t="s">
        <v>1183</v>
      </c>
      <c r="B546" s="15" t="s">
        <v>1349</v>
      </c>
    </row>
    <row r="547" spans="1:2" x14ac:dyDescent="0.15">
      <c r="A547" s="16" t="s">
        <v>1184</v>
      </c>
      <c r="B547" s="17" t="s">
        <v>1350</v>
      </c>
    </row>
    <row r="548" spans="1:2" x14ac:dyDescent="0.15">
      <c r="A548" s="14" t="s">
        <v>1185</v>
      </c>
      <c r="B548" s="15" t="s">
        <v>1351</v>
      </c>
    </row>
    <row r="549" spans="1:2" x14ac:dyDescent="0.15">
      <c r="A549" s="16" t="s">
        <v>27</v>
      </c>
      <c r="B549" s="17" t="s">
        <v>163</v>
      </c>
    </row>
    <row r="550" spans="1:2" x14ac:dyDescent="0.15">
      <c r="A550" s="14" t="s">
        <v>1186</v>
      </c>
      <c r="B550" s="15" t="s">
        <v>1352</v>
      </c>
    </row>
    <row r="551" spans="1:2" x14ac:dyDescent="0.15">
      <c r="A551" s="16" t="s">
        <v>1187</v>
      </c>
      <c r="B551" s="17" t="s">
        <v>1391</v>
      </c>
    </row>
    <row r="552" spans="1:2" x14ac:dyDescent="0.15">
      <c r="A552" s="14" t="s">
        <v>1188</v>
      </c>
      <c r="B552" s="15" t="s">
        <v>1392</v>
      </c>
    </row>
    <row r="553" spans="1:2" x14ac:dyDescent="0.15">
      <c r="A553" s="16" t="s">
        <v>1189</v>
      </c>
      <c r="B553" s="17" t="s">
        <v>1353</v>
      </c>
    </row>
    <row r="554" spans="1:2" x14ac:dyDescent="0.15">
      <c r="A554" s="14" t="s">
        <v>1190</v>
      </c>
      <c r="B554" s="15" t="s">
        <v>1354</v>
      </c>
    </row>
    <row r="555" spans="1:2" x14ac:dyDescent="0.15">
      <c r="A555" s="16" t="s">
        <v>1191</v>
      </c>
      <c r="B555" s="17" t="s">
        <v>1355</v>
      </c>
    </row>
    <row r="556" spans="1:2" x14ac:dyDescent="0.15">
      <c r="A556" s="14" t="s">
        <v>1192</v>
      </c>
      <c r="B556" s="15" t="s">
        <v>1356</v>
      </c>
    </row>
    <row r="557" spans="1:2" x14ac:dyDescent="0.15">
      <c r="A557" s="16" t="s">
        <v>1193</v>
      </c>
      <c r="B557" s="17" t="s">
        <v>1357</v>
      </c>
    </row>
    <row r="558" spans="1:2" x14ac:dyDescent="0.15">
      <c r="A558" s="14" t="s">
        <v>28</v>
      </c>
      <c r="B558" s="15" t="s">
        <v>164</v>
      </c>
    </row>
    <row r="559" spans="1:2" x14ac:dyDescent="0.15">
      <c r="A559" s="16" t="s">
        <v>1194</v>
      </c>
      <c r="B559" s="17" t="s">
        <v>1358</v>
      </c>
    </row>
    <row r="560" spans="1:2" x14ac:dyDescent="0.15">
      <c r="A560" s="14" t="s">
        <v>1195</v>
      </c>
      <c r="B560" s="15" t="s">
        <v>1359</v>
      </c>
    </row>
    <row r="561" spans="1:2" x14ac:dyDescent="0.15">
      <c r="A561" s="16" t="s">
        <v>1196</v>
      </c>
      <c r="B561" s="17" t="s">
        <v>1393</v>
      </c>
    </row>
    <row r="562" spans="1:2" x14ac:dyDescent="0.15">
      <c r="A562" s="14" t="s">
        <v>1197</v>
      </c>
      <c r="B562" s="15" t="s">
        <v>1360</v>
      </c>
    </row>
    <row r="563" spans="1:2" x14ac:dyDescent="0.15">
      <c r="A563" s="16" t="s">
        <v>1198</v>
      </c>
      <c r="B563" s="17" t="s">
        <v>1361</v>
      </c>
    </row>
    <row r="564" spans="1:2" x14ac:dyDescent="0.15">
      <c r="A564" s="14" t="s">
        <v>1199</v>
      </c>
      <c r="B564" s="15" t="s">
        <v>1362</v>
      </c>
    </row>
    <row r="565" spans="1:2" x14ac:dyDescent="0.15">
      <c r="A565" s="16" t="s">
        <v>1200</v>
      </c>
      <c r="B565" s="17" t="s">
        <v>1363</v>
      </c>
    </row>
    <row r="566" spans="1:2" x14ac:dyDescent="0.15">
      <c r="A566" s="14" t="s">
        <v>1201</v>
      </c>
      <c r="B566" s="15" t="s">
        <v>1364</v>
      </c>
    </row>
    <row r="567" spans="1:2" x14ac:dyDescent="0.15">
      <c r="A567" s="16" t="s">
        <v>294</v>
      </c>
      <c r="B567" s="17" t="s">
        <v>343</v>
      </c>
    </row>
    <row r="568" spans="1:2" x14ac:dyDescent="0.15">
      <c r="A568" s="14" t="s">
        <v>1202</v>
      </c>
      <c r="B568" s="15" t="s">
        <v>1365</v>
      </c>
    </row>
    <row r="569" spans="1:2" x14ac:dyDescent="0.15">
      <c r="A569" s="16" t="s">
        <v>1203</v>
      </c>
      <c r="B569" s="17" t="s">
        <v>1366</v>
      </c>
    </row>
    <row r="570" spans="1:2" x14ac:dyDescent="0.15">
      <c r="A570" s="14" t="s">
        <v>1204</v>
      </c>
      <c r="B570" s="15" t="s">
        <v>1367</v>
      </c>
    </row>
    <row r="571" spans="1:2" x14ac:dyDescent="0.15">
      <c r="A571" s="16" t="s">
        <v>1205</v>
      </c>
      <c r="B571" s="17" t="s">
        <v>1368</v>
      </c>
    </row>
    <row r="572" spans="1:2" x14ac:dyDescent="0.15">
      <c r="A572" s="14" t="s">
        <v>1206</v>
      </c>
      <c r="B572" s="15" t="s">
        <v>1369</v>
      </c>
    </row>
    <row r="573" spans="1:2" x14ac:dyDescent="0.15">
      <c r="A573" s="16" t="s">
        <v>1207</v>
      </c>
      <c r="B573" s="17" t="s">
        <v>1370</v>
      </c>
    </row>
    <row r="574" spans="1:2" x14ac:dyDescent="0.15">
      <c r="A574" s="14" t="s">
        <v>1208</v>
      </c>
      <c r="B574" s="15" t="s">
        <v>1371</v>
      </c>
    </row>
    <row r="575" spans="1:2" x14ac:dyDescent="0.15">
      <c r="A575" s="16" t="s">
        <v>1209</v>
      </c>
      <c r="B575" s="17" t="s">
        <v>1372</v>
      </c>
    </row>
    <row r="576" spans="1:2" x14ac:dyDescent="0.15">
      <c r="A576" s="14" t="s">
        <v>29</v>
      </c>
      <c r="B576" s="15" t="s">
        <v>165</v>
      </c>
    </row>
    <row r="577" spans="1:2" x14ac:dyDescent="0.15">
      <c r="A577" s="16" t="s">
        <v>30</v>
      </c>
      <c r="B577" s="17" t="s">
        <v>166</v>
      </c>
    </row>
    <row r="578" spans="1:2" x14ac:dyDescent="0.15">
      <c r="A578" s="14" t="s">
        <v>31</v>
      </c>
      <c r="B578" s="15" t="s">
        <v>167</v>
      </c>
    </row>
    <row r="579" spans="1:2" x14ac:dyDescent="0.15">
      <c r="A579" s="16" t="s">
        <v>32</v>
      </c>
      <c r="B579" s="17" t="s">
        <v>168</v>
      </c>
    </row>
    <row r="580" spans="1:2" x14ac:dyDescent="0.15">
      <c r="A580" s="14" t="s">
        <v>33</v>
      </c>
      <c r="B580" s="15" t="s">
        <v>169</v>
      </c>
    </row>
    <row r="581" spans="1:2" x14ac:dyDescent="0.15">
      <c r="A581" s="16" t="s">
        <v>34</v>
      </c>
      <c r="B581" s="17" t="s">
        <v>170</v>
      </c>
    </row>
    <row r="582" spans="1:2" x14ac:dyDescent="0.15">
      <c r="A582" s="14" t="s">
        <v>84</v>
      </c>
      <c r="B582" s="15" t="s">
        <v>208</v>
      </c>
    </row>
    <row r="583" spans="1:2" x14ac:dyDescent="0.15">
      <c r="A583" s="16" t="s">
        <v>85</v>
      </c>
      <c r="B583" s="17" t="s">
        <v>209</v>
      </c>
    </row>
    <row r="584" spans="1:2" x14ac:dyDescent="0.15">
      <c r="A584" s="14" t="s">
        <v>297</v>
      </c>
      <c r="B584" s="15" t="s">
        <v>210</v>
      </c>
    </row>
    <row r="585" spans="1:2" x14ac:dyDescent="0.15">
      <c r="A585" s="16" t="s">
        <v>298</v>
      </c>
      <c r="B585" s="17" t="s">
        <v>211</v>
      </c>
    </row>
    <row r="586" spans="1:2" x14ac:dyDescent="0.15">
      <c r="A586" s="14" t="s">
        <v>86</v>
      </c>
      <c r="B586" s="15" t="s">
        <v>212</v>
      </c>
    </row>
    <row r="587" spans="1:2" x14ac:dyDescent="0.15">
      <c r="A587" s="16" t="s">
        <v>87</v>
      </c>
      <c r="B587" s="17" t="s">
        <v>213</v>
      </c>
    </row>
    <row r="588" spans="1:2" x14ac:dyDescent="0.15">
      <c r="A588" s="14" t="s">
        <v>88</v>
      </c>
      <c r="B588" s="15" t="s">
        <v>214</v>
      </c>
    </row>
    <row r="589" spans="1:2" x14ac:dyDescent="0.15">
      <c r="A589" s="16" t="s">
        <v>89</v>
      </c>
      <c r="B589" s="17" t="s">
        <v>215</v>
      </c>
    </row>
    <row r="590" spans="1:2" x14ac:dyDescent="0.15">
      <c r="A590" s="14" t="s">
        <v>90</v>
      </c>
      <c r="B590" s="15" t="s">
        <v>216</v>
      </c>
    </row>
    <row r="591" spans="1:2" x14ac:dyDescent="0.15">
      <c r="A591" s="16" t="s">
        <v>91</v>
      </c>
      <c r="B591" s="17" t="s">
        <v>217</v>
      </c>
    </row>
    <row r="592" spans="1:2" x14ac:dyDescent="0.15">
      <c r="A592" s="14" t="s">
        <v>92</v>
      </c>
      <c r="B592" s="15" t="s">
        <v>218</v>
      </c>
    </row>
    <row r="593" spans="1:2" x14ac:dyDescent="0.15">
      <c r="A593" s="16" t="s">
        <v>93</v>
      </c>
      <c r="B593" s="17" t="s">
        <v>219</v>
      </c>
    </row>
    <row r="594" spans="1:2" x14ac:dyDescent="0.15">
      <c r="A594" s="14" t="s">
        <v>94</v>
      </c>
      <c r="B594" s="15" t="s">
        <v>220</v>
      </c>
    </row>
    <row r="595" spans="1:2" x14ac:dyDescent="0.15">
      <c r="A595" s="16" t="s">
        <v>95</v>
      </c>
      <c r="B595" s="17" t="s">
        <v>221</v>
      </c>
    </row>
    <row r="596" spans="1:2" x14ac:dyDescent="0.15">
      <c r="A596" s="14" t="s">
        <v>96</v>
      </c>
      <c r="B596" s="15" t="s">
        <v>222</v>
      </c>
    </row>
    <row r="597" spans="1:2" x14ac:dyDescent="0.15">
      <c r="A597" s="16" t="s">
        <v>61</v>
      </c>
      <c r="B597" s="17" t="s">
        <v>185</v>
      </c>
    </row>
    <row r="598" spans="1:2" x14ac:dyDescent="0.15">
      <c r="A598" s="14" t="s">
        <v>62</v>
      </c>
      <c r="B598" s="15" t="s">
        <v>186</v>
      </c>
    </row>
    <row r="599" spans="1:2" x14ac:dyDescent="0.15">
      <c r="A599" s="16" t="s">
        <v>63</v>
      </c>
      <c r="B599" s="17" t="s">
        <v>187</v>
      </c>
    </row>
    <row r="600" spans="1:2" x14ac:dyDescent="0.15">
      <c r="A600" s="14" t="s">
        <v>64</v>
      </c>
      <c r="B600" s="15" t="s">
        <v>188</v>
      </c>
    </row>
    <row r="601" spans="1:2" x14ac:dyDescent="0.15">
      <c r="A601" s="16" t="s">
        <v>65</v>
      </c>
      <c r="B601" s="17" t="s">
        <v>189</v>
      </c>
    </row>
    <row r="602" spans="1:2" x14ac:dyDescent="0.15">
      <c r="A602" s="14" t="s">
        <v>66</v>
      </c>
      <c r="B602" s="15" t="s">
        <v>190</v>
      </c>
    </row>
    <row r="603" spans="1:2" x14ac:dyDescent="0.15">
      <c r="A603" s="16" t="s">
        <v>67</v>
      </c>
      <c r="B603" s="17" t="s">
        <v>191</v>
      </c>
    </row>
    <row r="604" spans="1:2" x14ac:dyDescent="0.15">
      <c r="A604" s="14" t="s">
        <v>296</v>
      </c>
      <c r="B604" s="15" t="s">
        <v>192</v>
      </c>
    </row>
    <row r="605" spans="1:2" x14ac:dyDescent="0.15">
      <c r="A605" s="16" t="s">
        <v>68</v>
      </c>
      <c r="B605" s="17" t="s">
        <v>193</v>
      </c>
    </row>
    <row r="606" spans="1:2" x14ac:dyDescent="0.15">
      <c r="A606" s="14" t="s">
        <v>97</v>
      </c>
      <c r="B606" s="15" t="s">
        <v>223</v>
      </c>
    </row>
    <row r="607" spans="1:2" x14ac:dyDescent="0.15">
      <c r="A607" s="16" t="s">
        <v>98</v>
      </c>
      <c r="B607" s="17" t="s">
        <v>224</v>
      </c>
    </row>
    <row r="608" spans="1:2" x14ac:dyDescent="0.15">
      <c r="A608" s="14" t="s">
        <v>99</v>
      </c>
      <c r="B608" s="15" t="s">
        <v>225</v>
      </c>
    </row>
    <row r="609" spans="1:2" x14ac:dyDescent="0.15">
      <c r="A609" s="16" t="s">
        <v>100</v>
      </c>
      <c r="B609" s="17" t="s">
        <v>226</v>
      </c>
    </row>
    <row r="610" spans="1:2" x14ac:dyDescent="0.15">
      <c r="A610" s="14" t="s">
        <v>101</v>
      </c>
      <c r="B610" s="15" t="s">
        <v>227</v>
      </c>
    </row>
    <row r="611" spans="1:2" x14ac:dyDescent="0.15">
      <c r="A611" s="16" t="s">
        <v>102</v>
      </c>
      <c r="B611" s="17" t="s">
        <v>228</v>
      </c>
    </row>
    <row r="612" spans="1:2" x14ac:dyDescent="0.15">
      <c r="A612" s="14" t="s">
        <v>299</v>
      </c>
      <c r="B612" s="15" t="s">
        <v>229</v>
      </c>
    </row>
    <row r="613" spans="1:2" x14ac:dyDescent="0.15">
      <c r="A613" s="16" t="s">
        <v>103</v>
      </c>
      <c r="B613" s="17" t="s">
        <v>230</v>
      </c>
    </row>
    <row r="614" spans="1:2" x14ac:dyDescent="0.15">
      <c r="A614" s="14" t="s">
        <v>104</v>
      </c>
      <c r="B614" s="15" t="s">
        <v>231</v>
      </c>
    </row>
    <row r="615" spans="1:2" x14ac:dyDescent="0.15">
      <c r="A615" s="16" t="s">
        <v>69</v>
      </c>
      <c r="B615" s="17" t="s">
        <v>194</v>
      </c>
    </row>
    <row r="616" spans="1:2" x14ac:dyDescent="0.15">
      <c r="A616" s="14" t="s">
        <v>70</v>
      </c>
      <c r="B616" s="15" t="s">
        <v>195</v>
      </c>
    </row>
    <row r="617" spans="1:2" x14ac:dyDescent="0.15">
      <c r="A617" s="16" t="s">
        <v>71</v>
      </c>
      <c r="B617" s="17" t="s">
        <v>196</v>
      </c>
    </row>
    <row r="618" spans="1:2" x14ac:dyDescent="0.15">
      <c r="A618" s="14" t="s">
        <v>300</v>
      </c>
      <c r="B618" s="15" t="s">
        <v>232</v>
      </c>
    </row>
    <row r="619" spans="1:2" x14ac:dyDescent="0.15">
      <c r="A619" s="16" t="s">
        <v>105</v>
      </c>
      <c r="B619" s="17" t="s">
        <v>233</v>
      </c>
    </row>
    <row r="620" spans="1:2" x14ac:dyDescent="0.15">
      <c r="A620" s="14" t="s">
        <v>106</v>
      </c>
      <c r="B620" s="15" t="s">
        <v>234</v>
      </c>
    </row>
    <row r="621" spans="1:2" x14ac:dyDescent="0.15">
      <c r="A621" s="16" t="s">
        <v>107</v>
      </c>
      <c r="B621" s="17" t="s">
        <v>235</v>
      </c>
    </row>
    <row r="622" spans="1:2" x14ac:dyDescent="0.15">
      <c r="A622" s="14" t="s">
        <v>108</v>
      </c>
      <c r="B622" s="15" t="s">
        <v>236</v>
      </c>
    </row>
    <row r="623" spans="1:2" x14ac:dyDescent="0.15">
      <c r="A623" s="16" t="s">
        <v>109</v>
      </c>
      <c r="B623" s="17" t="s">
        <v>237</v>
      </c>
    </row>
    <row r="624" spans="1:2" x14ac:dyDescent="0.15">
      <c r="A624" s="14" t="s">
        <v>110</v>
      </c>
      <c r="B624" s="15" t="s">
        <v>238</v>
      </c>
    </row>
    <row r="625" spans="1:2" x14ac:dyDescent="0.15">
      <c r="A625" s="16" t="s">
        <v>111</v>
      </c>
      <c r="B625" s="17" t="s">
        <v>239</v>
      </c>
    </row>
    <row r="626" spans="1:2" x14ac:dyDescent="0.15">
      <c r="A626" s="14" t="s">
        <v>112</v>
      </c>
      <c r="B626" s="15" t="s">
        <v>240</v>
      </c>
    </row>
    <row r="627" spans="1:2" x14ac:dyDescent="0.15">
      <c r="A627" s="16" t="s">
        <v>113</v>
      </c>
      <c r="B627" s="17" t="s">
        <v>241</v>
      </c>
    </row>
    <row r="628" spans="1:2" x14ac:dyDescent="0.15">
      <c r="A628" s="14" t="s">
        <v>114</v>
      </c>
      <c r="B628" s="15" t="s">
        <v>242</v>
      </c>
    </row>
    <row r="629" spans="1:2" x14ac:dyDescent="0.15">
      <c r="A629" s="16" t="s">
        <v>301</v>
      </c>
      <c r="B629" s="17" t="s">
        <v>243</v>
      </c>
    </row>
    <row r="630" spans="1:2" x14ac:dyDescent="0.15">
      <c r="A630" s="14" t="s">
        <v>115</v>
      </c>
      <c r="B630" s="15" t="s">
        <v>244</v>
      </c>
    </row>
    <row r="631" spans="1:2" x14ac:dyDescent="0.15">
      <c r="A631" s="16" t="s">
        <v>116</v>
      </c>
      <c r="B631" s="17" t="s">
        <v>245</v>
      </c>
    </row>
    <row r="632" spans="1:2" x14ac:dyDescent="0.15">
      <c r="A632" s="14" t="s">
        <v>117</v>
      </c>
      <c r="B632" s="15" t="s">
        <v>246</v>
      </c>
    </row>
    <row r="633" spans="1:2" x14ac:dyDescent="0.15">
      <c r="A633" s="16" t="s">
        <v>118</v>
      </c>
      <c r="B633" s="17" t="s">
        <v>247</v>
      </c>
    </row>
    <row r="634" spans="1:2" x14ac:dyDescent="0.15">
      <c r="A634" s="14" t="s">
        <v>119</v>
      </c>
      <c r="B634" s="15" t="s">
        <v>668</v>
      </c>
    </row>
    <row r="635" spans="1:2" x14ac:dyDescent="0.15">
      <c r="A635" s="16" t="s">
        <v>120</v>
      </c>
      <c r="B635" s="17" t="s">
        <v>248</v>
      </c>
    </row>
    <row r="636" spans="1:2" x14ac:dyDescent="0.15">
      <c r="A636" s="14" t="s">
        <v>302</v>
      </c>
      <c r="B636" s="15" t="s">
        <v>249</v>
      </c>
    </row>
    <row r="637" spans="1:2" x14ac:dyDescent="0.15">
      <c r="A637" s="16" t="s">
        <v>121</v>
      </c>
      <c r="B637" s="17" t="s">
        <v>250</v>
      </c>
    </row>
    <row r="638" spans="1:2" x14ac:dyDescent="0.15">
      <c r="A638" s="14" t="s">
        <v>122</v>
      </c>
      <c r="B638" s="15" t="s">
        <v>251</v>
      </c>
    </row>
    <row r="639" spans="1:2" x14ac:dyDescent="0.15">
      <c r="A639" s="16" t="s">
        <v>123</v>
      </c>
      <c r="B639" s="17" t="s">
        <v>252</v>
      </c>
    </row>
    <row r="640" spans="1:2" x14ac:dyDescent="0.15">
      <c r="A640" s="14" t="s">
        <v>124</v>
      </c>
      <c r="B640" s="15" t="s">
        <v>253</v>
      </c>
    </row>
    <row r="641" spans="1:2" x14ac:dyDescent="0.15">
      <c r="A641" s="16" t="s">
        <v>125</v>
      </c>
      <c r="B641" s="17" t="s">
        <v>254</v>
      </c>
    </row>
    <row r="642" spans="1:2" x14ac:dyDescent="0.15">
      <c r="A642" s="14" t="s">
        <v>81</v>
      </c>
      <c r="B642" s="15" t="s">
        <v>205</v>
      </c>
    </row>
    <row r="643" spans="1:2" x14ac:dyDescent="0.15">
      <c r="A643" s="16" t="s">
        <v>82</v>
      </c>
      <c r="B643" s="17" t="s">
        <v>206</v>
      </c>
    </row>
    <row r="644" spans="1:2" x14ac:dyDescent="0.15">
      <c r="A644" s="14" t="s">
        <v>83</v>
      </c>
      <c r="B644" s="15" t="s">
        <v>207</v>
      </c>
    </row>
    <row r="645" spans="1:2" x14ac:dyDescent="0.15">
      <c r="A645" s="16" t="s">
        <v>126</v>
      </c>
      <c r="B645" s="17" t="s">
        <v>255</v>
      </c>
    </row>
    <row r="646" spans="1:2" x14ac:dyDescent="0.15">
      <c r="A646" s="14" t="s">
        <v>127</v>
      </c>
      <c r="B646" s="15" t="s">
        <v>669</v>
      </c>
    </row>
    <row r="647" spans="1:2" x14ac:dyDescent="0.15">
      <c r="A647" s="16" t="s">
        <v>128</v>
      </c>
      <c r="B647" s="17" t="s">
        <v>256</v>
      </c>
    </row>
    <row r="648" spans="1:2" x14ac:dyDescent="0.15">
      <c r="A648" s="14" t="s">
        <v>72</v>
      </c>
      <c r="B648" s="15" t="s">
        <v>197</v>
      </c>
    </row>
    <row r="649" spans="1:2" x14ac:dyDescent="0.15">
      <c r="A649" s="16" t="s">
        <v>73</v>
      </c>
      <c r="B649" s="17" t="s">
        <v>198</v>
      </c>
    </row>
    <row r="650" spans="1:2" x14ac:dyDescent="0.15">
      <c r="A650" s="14" t="s">
        <v>74</v>
      </c>
      <c r="B650" s="15" t="s">
        <v>670</v>
      </c>
    </row>
    <row r="651" spans="1:2" x14ac:dyDescent="0.15">
      <c r="A651" s="16" t="s">
        <v>75</v>
      </c>
      <c r="B651" s="17" t="s">
        <v>200</v>
      </c>
    </row>
    <row r="652" spans="1:2" x14ac:dyDescent="0.15">
      <c r="A652" s="14" t="s">
        <v>76</v>
      </c>
      <c r="B652" s="15" t="s">
        <v>201</v>
      </c>
    </row>
    <row r="653" spans="1:2" x14ac:dyDescent="0.15">
      <c r="A653" s="16" t="s">
        <v>77</v>
      </c>
      <c r="B653" s="17" t="s">
        <v>202</v>
      </c>
    </row>
    <row r="654" spans="1:2" x14ac:dyDescent="0.15">
      <c r="A654" s="14" t="s">
        <v>78</v>
      </c>
      <c r="B654" s="15" t="s">
        <v>203</v>
      </c>
    </row>
    <row r="655" spans="1:2" x14ac:dyDescent="0.15">
      <c r="A655" s="16" t="s">
        <v>79</v>
      </c>
      <c r="B655" s="17" t="s">
        <v>204</v>
      </c>
    </row>
    <row r="656" spans="1:2" x14ac:dyDescent="0.15">
      <c r="A656" s="14" t="s">
        <v>80</v>
      </c>
      <c r="B656" s="15" t="s">
        <v>199</v>
      </c>
    </row>
    <row r="657" spans="1:2" x14ac:dyDescent="0.15">
      <c r="A657" s="16" t="s">
        <v>944</v>
      </c>
      <c r="B657" s="17" t="s">
        <v>671</v>
      </c>
    </row>
    <row r="658" spans="1:2" x14ac:dyDescent="0.15">
      <c r="A658" s="14" t="s">
        <v>945</v>
      </c>
      <c r="B658" s="15" t="s">
        <v>672</v>
      </c>
    </row>
    <row r="659" spans="1:2" x14ac:dyDescent="0.15">
      <c r="A659" s="16" t="s">
        <v>946</v>
      </c>
      <c r="B659" s="17" t="s">
        <v>673</v>
      </c>
    </row>
    <row r="660" spans="1:2" x14ac:dyDescent="0.15">
      <c r="A660" s="14" t="s">
        <v>947</v>
      </c>
      <c r="B660" s="15" t="s">
        <v>674</v>
      </c>
    </row>
    <row r="661" spans="1:2" x14ac:dyDescent="0.15">
      <c r="A661" s="16" t="s">
        <v>948</v>
      </c>
      <c r="B661" s="17" t="s">
        <v>264</v>
      </c>
    </row>
    <row r="662" spans="1:2" x14ac:dyDescent="0.15">
      <c r="A662" s="14" t="s">
        <v>129</v>
      </c>
      <c r="B662" s="15" t="s">
        <v>257</v>
      </c>
    </row>
    <row r="663" spans="1:2" x14ac:dyDescent="0.15">
      <c r="A663" s="16" t="s">
        <v>130</v>
      </c>
      <c r="B663" s="17" t="s">
        <v>258</v>
      </c>
    </row>
    <row r="664" spans="1:2" x14ac:dyDescent="0.15">
      <c r="A664" s="14" t="s">
        <v>131</v>
      </c>
      <c r="B664" s="15" t="s">
        <v>259</v>
      </c>
    </row>
    <row r="665" spans="1:2" x14ac:dyDescent="0.15">
      <c r="A665" s="16" t="s">
        <v>132</v>
      </c>
      <c r="B665" s="17" t="s">
        <v>260</v>
      </c>
    </row>
    <row r="666" spans="1:2" x14ac:dyDescent="0.15">
      <c r="A666" s="14" t="s">
        <v>133</v>
      </c>
      <c r="B666" s="15" t="s">
        <v>261</v>
      </c>
    </row>
    <row r="667" spans="1:2" x14ac:dyDescent="0.15">
      <c r="A667" s="16" t="s">
        <v>134</v>
      </c>
      <c r="B667" s="17" t="s">
        <v>262</v>
      </c>
    </row>
    <row r="668" spans="1:2" x14ac:dyDescent="0.15">
      <c r="A668" s="14" t="s">
        <v>949</v>
      </c>
      <c r="B668" s="15" t="s">
        <v>1373</v>
      </c>
    </row>
    <row r="669" spans="1:2" x14ac:dyDescent="0.15">
      <c r="A669" s="16" t="s">
        <v>303</v>
      </c>
      <c r="B669" s="17" t="s">
        <v>263</v>
      </c>
    </row>
    <row r="670" spans="1:2" x14ac:dyDescent="0.15">
      <c r="A670" s="9" t="s">
        <v>950</v>
      </c>
      <c r="B670" s="10" t="s">
        <v>307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2"/>
  <sheetViews>
    <sheetView topLeftCell="A43" workbookViewId="0">
      <selection activeCell="B88" sqref="B88"/>
    </sheetView>
  </sheetViews>
  <sheetFormatPr defaultRowHeight="13.5" x14ac:dyDescent="0.15"/>
  <cols>
    <col min="1" max="1" width="42.625" customWidth="1"/>
    <col min="2" max="2" width="45.625" customWidth="1"/>
  </cols>
  <sheetData>
    <row r="1" spans="1:2" x14ac:dyDescent="0.15">
      <c r="A1" t="s">
        <v>355</v>
      </c>
      <c r="B1" t="s">
        <v>356</v>
      </c>
    </row>
    <row r="2" spans="1:2" x14ac:dyDescent="0.15">
      <c r="A2" s="9" t="s">
        <v>1394</v>
      </c>
      <c r="B2" s="10" t="s">
        <v>140</v>
      </c>
    </row>
    <row r="3" spans="1:2" x14ac:dyDescent="0.15">
      <c r="A3" s="7" t="s">
        <v>357</v>
      </c>
      <c r="B3" s="8" t="s">
        <v>367</v>
      </c>
    </row>
    <row r="4" spans="1:2" x14ac:dyDescent="0.15">
      <c r="A4" s="9" t="s">
        <v>358</v>
      </c>
      <c r="B4" s="10" t="s">
        <v>368</v>
      </c>
    </row>
    <row r="5" spans="1:2" x14ac:dyDescent="0.15">
      <c r="A5" s="7" t="s">
        <v>359</v>
      </c>
      <c r="B5" s="8" t="s">
        <v>369</v>
      </c>
    </row>
    <row r="6" spans="1:2" x14ac:dyDescent="0.15">
      <c r="A6" s="9" t="s">
        <v>360</v>
      </c>
      <c r="B6" s="10" t="s">
        <v>370</v>
      </c>
    </row>
    <row r="7" spans="1:2" x14ac:dyDescent="0.15">
      <c r="A7" s="7" t="s">
        <v>362</v>
      </c>
      <c r="B7" s="8" t="s">
        <v>372</v>
      </c>
    </row>
    <row r="8" spans="1:2" x14ac:dyDescent="0.15">
      <c r="A8" s="9" t="s">
        <v>1395</v>
      </c>
      <c r="B8" s="10" t="s">
        <v>1396</v>
      </c>
    </row>
    <row r="9" spans="1:2" x14ac:dyDescent="0.15">
      <c r="A9" s="7" t="s">
        <v>364</v>
      </c>
      <c r="B9" s="8" t="s">
        <v>1397</v>
      </c>
    </row>
    <row r="10" spans="1:2" x14ac:dyDescent="0.15">
      <c r="A10" s="9" t="s">
        <v>363</v>
      </c>
      <c r="B10" s="10" t="s">
        <v>1398</v>
      </c>
    </row>
    <row r="11" spans="1:2" x14ac:dyDescent="0.15">
      <c r="A11" s="7" t="s">
        <v>1399</v>
      </c>
      <c r="B11" s="8" t="s">
        <v>1400</v>
      </c>
    </row>
    <row r="12" spans="1:2" x14ac:dyDescent="0.15">
      <c r="A12" s="9" t="s">
        <v>1401</v>
      </c>
      <c r="B12" s="10" t="s">
        <v>374</v>
      </c>
    </row>
    <row r="13" spans="1:2" x14ac:dyDescent="0.15">
      <c r="A13" s="7" t="s">
        <v>1402</v>
      </c>
      <c r="B13" s="8" t="s">
        <v>375</v>
      </c>
    </row>
    <row r="14" spans="1:2" x14ac:dyDescent="0.15">
      <c r="A14" s="9" t="s">
        <v>365</v>
      </c>
      <c r="B14" s="10" t="s">
        <v>1403</v>
      </c>
    </row>
    <row r="15" spans="1:2" x14ac:dyDescent="0.15">
      <c r="A15" s="7" t="s">
        <v>381</v>
      </c>
      <c r="B15" s="8" t="s">
        <v>383</v>
      </c>
    </row>
    <row r="16" spans="1:2" x14ac:dyDescent="0.15">
      <c r="A16" s="9" t="s">
        <v>366</v>
      </c>
      <c r="B16" s="10" t="s">
        <v>376</v>
      </c>
    </row>
    <row r="17" spans="1:2" x14ac:dyDescent="0.15">
      <c r="A17" s="7" t="s">
        <v>1404</v>
      </c>
      <c r="B17" s="8" t="s">
        <v>1405</v>
      </c>
    </row>
    <row r="18" spans="1:2" x14ac:dyDescent="0.15">
      <c r="A18" s="9" t="s">
        <v>1406</v>
      </c>
      <c r="B18" s="10" t="s">
        <v>371</v>
      </c>
    </row>
    <row r="19" spans="1:2" x14ac:dyDescent="0.15">
      <c r="A19" s="7" t="s">
        <v>1407</v>
      </c>
      <c r="B19" s="8" t="s">
        <v>1408</v>
      </c>
    </row>
    <row r="20" spans="1:2" x14ac:dyDescent="0.15">
      <c r="A20" s="9" t="s">
        <v>1409</v>
      </c>
      <c r="B20" s="10" t="s">
        <v>1410</v>
      </c>
    </row>
    <row r="21" spans="1:2" x14ac:dyDescent="0.15">
      <c r="A21" s="7" t="s">
        <v>1411</v>
      </c>
      <c r="B21" s="8" t="s">
        <v>1412</v>
      </c>
    </row>
    <row r="22" spans="1:2" x14ac:dyDescent="0.15">
      <c r="A22" s="9" t="s">
        <v>1413</v>
      </c>
      <c r="B22" s="10" t="s">
        <v>1414</v>
      </c>
    </row>
    <row r="23" spans="1:2" x14ac:dyDescent="0.15">
      <c r="A23" s="7" t="s">
        <v>1415</v>
      </c>
      <c r="B23" s="8" t="s">
        <v>1416</v>
      </c>
    </row>
    <row r="24" spans="1:2" x14ac:dyDescent="0.15">
      <c r="A24" s="9" t="s">
        <v>1417</v>
      </c>
      <c r="B24" s="10" t="s">
        <v>1418</v>
      </c>
    </row>
    <row r="25" spans="1:2" x14ac:dyDescent="0.15">
      <c r="A25" s="7" t="s">
        <v>1419</v>
      </c>
      <c r="B25" s="8" t="s">
        <v>1420</v>
      </c>
    </row>
    <row r="26" spans="1:2" x14ac:dyDescent="0.15">
      <c r="A26" s="9" t="s">
        <v>1421</v>
      </c>
      <c r="B26" s="10" t="s">
        <v>1422</v>
      </c>
    </row>
    <row r="27" spans="1:2" x14ac:dyDescent="0.15">
      <c r="A27" s="7" t="s">
        <v>1423</v>
      </c>
      <c r="B27" s="8" t="s">
        <v>1424</v>
      </c>
    </row>
    <row r="28" spans="1:2" x14ac:dyDescent="0.15">
      <c r="A28" s="9" t="s">
        <v>1425</v>
      </c>
      <c r="B28" s="10" t="s">
        <v>1426</v>
      </c>
    </row>
    <row r="29" spans="1:2" x14ac:dyDescent="0.15">
      <c r="A29" s="7" t="s">
        <v>1427</v>
      </c>
      <c r="B29" s="8" t="s">
        <v>1428</v>
      </c>
    </row>
    <row r="30" spans="1:2" x14ac:dyDescent="0.15">
      <c r="A30" s="9" t="s">
        <v>1429</v>
      </c>
      <c r="B30" s="10" t="s">
        <v>1430</v>
      </c>
    </row>
    <row r="31" spans="1:2" x14ac:dyDescent="0.15">
      <c r="A31" s="7" t="s">
        <v>1431</v>
      </c>
      <c r="B31" s="8" t="s">
        <v>1432</v>
      </c>
    </row>
    <row r="32" spans="1:2" x14ac:dyDescent="0.15">
      <c r="A32" s="9" t="s">
        <v>1433</v>
      </c>
      <c r="B32" s="10" t="s">
        <v>1434</v>
      </c>
    </row>
    <row r="33" spans="1:2" x14ac:dyDescent="0.15">
      <c r="A33" s="7" t="s">
        <v>1435</v>
      </c>
      <c r="B33" s="8" t="s">
        <v>1436</v>
      </c>
    </row>
    <row r="34" spans="1:2" x14ac:dyDescent="0.15">
      <c r="A34" s="9" t="s">
        <v>1437</v>
      </c>
      <c r="B34" s="10" t="s">
        <v>1438</v>
      </c>
    </row>
    <row r="35" spans="1:2" x14ac:dyDescent="0.15">
      <c r="A35" s="7" t="s">
        <v>1439</v>
      </c>
      <c r="B35" s="8" t="s">
        <v>1440</v>
      </c>
    </row>
    <row r="36" spans="1:2" x14ac:dyDescent="0.15">
      <c r="A36" s="9" t="s">
        <v>1441</v>
      </c>
      <c r="B36" s="10" t="s">
        <v>1442</v>
      </c>
    </row>
    <row r="37" spans="1:2" x14ac:dyDescent="0.15">
      <c r="A37" s="7" t="s">
        <v>1443</v>
      </c>
      <c r="B37" s="8" t="s">
        <v>1444</v>
      </c>
    </row>
    <row r="38" spans="1:2" x14ac:dyDescent="0.15">
      <c r="A38" s="9" t="s">
        <v>1445</v>
      </c>
      <c r="B38" s="10" t="s">
        <v>1446</v>
      </c>
    </row>
    <row r="39" spans="1:2" x14ac:dyDescent="0.15">
      <c r="A39" s="7" t="s">
        <v>1447</v>
      </c>
      <c r="B39" s="8" t="s">
        <v>1448</v>
      </c>
    </row>
    <row r="40" spans="1:2" x14ac:dyDescent="0.15">
      <c r="A40" s="7" t="s">
        <v>1449</v>
      </c>
      <c r="B40" s="8" t="s">
        <v>1450</v>
      </c>
    </row>
    <row r="41" spans="1:2" x14ac:dyDescent="0.15">
      <c r="A41" s="9" t="s">
        <v>1451</v>
      </c>
      <c r="B41" s="10" t="s">
        <v>1452</v>
      </c>
    </row>
    <row r="42" spans="1:2" x14ac:dyDescent="0.15">
      <c r="A42" s="7" t="s">
        <v>1453</v>
      </c>
      <c r="B42" s="8" t="s">
        <v>1454</v>
      </c>
    </row>
    <row r="43" spans="1:2" x14ac:dyDescent="0.15">
      <c r="A43" s="9" t="s">
        <v>1455</v>
      </c>
      <c r="B43" s="10" t="s">
        <v>1456</v>
      </c>
    </row>
    <row r="44" spans="1:2" x14ac:dyDescent="0.15">
      <c r="A44" s="9" t="s">
        <v>1457</v>
      </c>
      <c r="B44" s="10" t="s">
        <v>1458</v>
      </c>
    </row>
    <row r="45" spans="1:2" x14ac:dyDescent="0.15">
      <c r="A45" s="7" t="s">
        <v>1459</v>
      </c>
      <c r="B45" s="8" t="s">
        <v>1460</v>
      </c>
    </row>
    <row r="46" spans="1:2" x14ac:dyDescent="0.15">
      <c r="A46" s="9" t="s">
        <v>1461</v>
      </c>
      <c r="B46" s="10" t="s">
        <v>1462</v>
      </c>
    </row>
    <row r="47" spans="1:2" x14ac:dyDescent="0.15">
      <c r="A47" s="7" t="s">
        <v>1463</v>
      </c>
      <c r="B47" s="8" t="s">
        <v>1464</v>
      </c>
    </row>
    <row r="48" spans="1:2" x14ac:dyDescent="0.15">
      <c r="A48" s="9" t="s">
        <v>1465</v>
      </c>
      <c r="B48" s="10" t="s">
        <v>1466</v>
      </c>
    </row>
    <row r="49" spans="1:2" x14ac:dyDescent="0.15">
      <c r="A49" s="7" t="s">
        <v>1467</v>
      </c>
      <c r="B49" s="8" t="s">
        <v>1468</v>
      </c>
    </row>
    <row r="50" spans="1:2" x14ac:dyDescent="0.15">
      <c r="A50" s="9" t="s">
        <v>1469</v>
      </c>
      <c r="B50" s="10" t="s">
        <v>1470</v>
      </c>
    </row>
    <row r="51" spans="1:2" x14ac:dyDescent="0.15">
      <c r="A51" s="7" t="s">
        <v>1471</v>
      </c>
      <c r="B51" s="8" t="s">
        <v>1472</v>
      </c>
    </row>
    <row r="52" spans="1:2" x14ac:dyDescent="0.15">
      <c r="A52" s="9" t="s">
        <v>1473</v>
      </c>
      <c r="B52" s="10" t="s">
        <v>1474</v>
      </c>
    </row>
    <row r="53" spans="1:2" x14ac:dyDescent="0.15">
      <c r="A53" s="7" t="s">
        <v>1475</v>
      </c>
      <c r="B53" s="8" t="s">
        <v>1476</v>
      </c>
    </row>
    <row r="54" spans="1:2" x14ac:dyDescent="0.15">
      <c r="A54" s="9" t="s">
        <v>1477</v>
      </c>
      <c r="B54" s="10" t="s">
        <v>1478</v>
      </c>
    </row>
    <row r="55" spans="1:2" x14ac:dyDescent="0.15">
      <c r="A55" s="7" t="s">
        <v>1479</v>
      </c>
      <c r="B55" s="8" t="s">
        <v>1480</v>
      </c>
    </row>
    <row r="56" spans="1:2" x14ac:dyDescent="0.15">
      <c r="A56" s="9" t="s">
        <v>1481</v>
      </c>
      <c r="B56" s="10" t="s">
        <v>1482</v>
      </c>
    </row>
    <row r="57" spans="1:2" x14ac:dyDescent="0.15">
      <c r="A57" s="7" t="s">
        <v>1483</v>
      </c>
      <c r="B57" s="8" t="s">
        <v>1484</v>
      </c>
    </row>
    <row r="58" spans="1:2" x14ac:dyDescent="0.15">
      <c r="A58" s="9" t="s">
        <v>1485</v>
      </c>
      <c r="B58" s="10" t="s">
        <v>1486</v>
      </c>
    </row>
    <row r="59" spans="1:2" x14ac:dyDescent="0.15">
      <c r="A59" s="7" t="s">
        <v>1487</v>
      </c>
      <c r="B59" s="8" t="s">
        <v>1488</v>
      </c>
    </row>
    <row r="60" spans="1:2" x14ac:dyDescent="0.15">
      <c r="A60" s="9" t="s">
        <v>1489</v>
      </c>
      <c r="B60" s="10" t="s">
        <v>1490</v>
      </c>
    </row>
    <row r="61" spans="1:2" x14ac:dyDescent="0.15">
      <c r="A61" s="7" t="s">
        <v>1491</v>
      </c>
      <c r="B61" s="8" t="s">
        <v>1492</v>
      </c>
    </row>
    <row r="62" spans="1:2" x14ac:dyDescent="0.15">
      <c r="A62" s="9" t="s">
        <v>1493</v>
      </c>
      <c r="B62" s="10" t="s">
        <v>1494</v>
      </c>
    </row>
    <row r="63" spans="1:2" x14ac:dyDescent="0.15">
      <c r="A63" s="7" t="s">
        <v>1495</v>
      </c>
      <c r="B63" s="8" t="s">
        <v>1496</v>
      </c>
    </row>
    <row r="64" spans="1:2" x14ac:dyDescent="0.15">
      <c r="A64" s="9" t="s">
        <v>1497</v>
      </c>
      <c r="B64" s="10" t="s">
        <v>1498</v>
      </c>
    </row>
    <row r="65" spans="1:2" x14ac:dyDescent="0.15">
      <c r="A65" s="7" t="s">
        <v>1499</v>
      </c>
      <c r="B65" s="8" t="s">
        <v>1500</v>
      </c>
    </row>
    <row r="66" spans="1:2" x14ac:dyDescent="0.15">
      <c r="A66" s="9" t="s">
        <v>1501</v>
      </c>
      <c r="B66" s="10" t="s">
        <v>1502</v>
      </c>
    </row>
    <row r="67" spans="1:2" x14ac:dyDescent="0.15">
      <c r="A67" s="7" t="s">
        <v>1503</v>
      </c>
      <c r="B67" s="8" t="s">
        <v>1504</v>
      </c>
    </row>
    <row r="68" spans="1:2" x14ac:dyDescent="0.15">
      <c r="A68" s="9" t="s">
        <v>1505</v>
      </c>
      <c r="B68" s="10" t="s">
        <v>263</v>
      </c>
    </row>
    <row r="69" spans="1:2" x14ac:dyDescent="0.15">
      <c r="A69" s="7" t="s">
        <v>1506</v>
      </c>
      <c r="B69" s="8" t="s">
        <v>1507</v>
      </c>
    </row>
    <row r="70" spans="1:2" x14ac:dyDescent="0.15">
      <c r="A70" s="9" t="s">
        <v>1508</v>
      </c>
      <c r="B70" s="10" t="s">
        <v>1509</v>
      </c>
    </row>
    <row r="71" spans="1:2" x14ac:dyDescent="0.15">
      <c r="A71" s="7" t="s">
        <v>1510</v>
      </c>
      <c r="B71" s="8" t="s">
        <v>1511</v>
      </c>
    </row>
    <row r="72" spans="1:2" x14ac:dyDescent="0.15">
      <c r="A72" s="9" t="s">
        <v>1512</v>
      </c>
      <c r="B72" s="10" t="s">
        <v>1513</v>
      </c>
    </row>
    <row r="73" spans="1:2" x14ac:dyDescent="0.15">
      <c r="A73" s="7" t="s">
        <v>1514</v>
      </c>
      <c r="B73" s="8" t="s">
        <v>1515</v>
      </c>
    </row>
    <row r="74" spans="1:2" x14ac:dyDescent="0.15">
      <c r="A74" s="9" t="s">
        <v>1516</v>
      </c>
      <c r="B74" s="10" t="s">
        <v>1517</v>
      </c>
    </row>
    <row r="75" spans="1:2" x14ac:dyDescent="0.15">
      <c r="A75" s="7" t="s">
        <v>1518</v>
      </c>
      <c r="B75" s="8" t="s">
        <v>1519</v>
      </c>
    </row>
    <row r="76" spans="1:2" x14ac:dyDescent="0.15">
      <c r="A76" s="9" t="s">
        <v>1520</v>
      </c>
      <c r="B76" s="10" t="s">
        <v>1521</v>
      </c>
    </row>
    <row r="77" spans="1:2" x14ac:dyDescent="0.15">
      <c r="A77" s="7" t="s">
        <v>1522</v>
      </c>
      <c r="B77" s="8" t="s">
        <v>1523</v>
      </c>
    </row>
    <row r="78" spans="1:2" x14ac:dyDescent="0.15">
      <c r="A78" s="9" t="s">
        <v>1524</v>
      </c>
      <c r="B78" s="10" t="s">
        <v>1525</v>
      </c>
    </row>
    <row r="79" spans="1:2" x14ac:dyDescent="0.15">
      <c r="A79" s="7" t="s">
        <v>1526</v>
      </c>
      <c r="B79" s="8" t="s">
        <v>1527</v>
      </c>
    </row>
    <row r="80" spans="1:2" x14ac:dyDescent="0.15">
      <c r="A80" s="9" t="s">
        <v>1528</v>
      </c>
      <c r="B80" s="10" t="s">
        <v>1529</v>
      </c>
    </row>
    <row r="81" spans="1:2" x14ac:dyDescent="0.15">
      <c r="A81" s="7" t="s">
        <v>1530</v>
      </c>
      <c r="B81" s="8" t="s">
        <v>1531</v>
      </c>
    </row>
    <row r="82" spans="1:2" x14ac:dyDescent="0.15">
      <c r="A82" s="9" t="s">
        <v>1532</v>
      </c>
      <c r="B82" s="10" t="s">
        <v>1533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D2"/>
  <sheetViews>
    <sheetView workbookViewId="0">
      <selection activeCell="M17" sqref="M17"/>
    </sheetView>
  </sheetViews>
  <sheetFormatPr defaultRowHeight="13.5" x14ac:dyDescent="0.15"/>
  <cols>
    <col min="1" max="1" width="9.875" customWidth="1"/>
  </cols>
  <sheetData>
    <row r="1" spans="1:4" ht="18" customHeight="1" thickTop="1" thickBot="1" x14ac:dyDescent="0.2">
      <c r="A1" s="2" t="s">
        <v>0</v>
      </c>
      <c r="B1" s="28"/>
      <c r="C1" s="29"/>
      <c r="D1" s="30"/>
    </row>
    <row r="2" spans="1:4" ht="14.25" thickTop="1" x14ac:dyDescent="0.15"/>
  </sheetData>
  <mergeCells count="1">
    <mergeCell ref="B1:D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lectSheet">
                <anchor moveWithCells="1">
                  <from>
                    <xdr:col>4</xdr:col>
                    <xdr:colOff>38100</xdr:colOff>
                    <xdr:row>0</xdr:row>
                    <xdr:rowOff>19050</xdr:rowOff>
                  </from>
                  <to>
                    <xdr:col>5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GetSheetData">
                <anchor moveWithCells="1">
                  <from>
                    <xdr:col>5</xdr:col>
                    <xdr:colOff>38100</xdr:colOff>
                    <xdr:row>0</xdr:row>
                    <xdr:rowOff>19050</xdr:rowOff>
                  </from>
                  <to>
                    <xdr:col>6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"/>
  <sheetViews>
    <sheetView workbookViewId="0">
      <selection activeCell="B23" sqref="B23"/>
    </sheetView>
  </sheetViews>
  <sheetFormatPr defaultRowHeight="13.5" x14ac:dyDescent="0.15"/>
  <cols>
    <col min="1" max="1" width="16" bestFit="1" customWidth="1"/>
    <col min="2" max="2" width="113.625" customWidth="1"/>
  </cols>
  <sheetData>
    <row r="1" spans="1:2" x14ac:dyDescent="0.15">
      <c r="A1" s="22" t="s">
        <v>2877</v>
      </c>
      <c r="B1" s="21" t="s">
        <v>2878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目次</vt:lpstr>
      <vt:lpstr>生産 (移行先)</vt:lpstr>
      <vt:lpstr>設備 (移行先)</vt:lpstr>
      <vt:lpstr>生産</vt:lpstr>
      <vt:lpstr>設備</vt:lpstr>
      <vt:lpstr>テーブル一覧</vt:lpstr>
      <vt:lpstr>テーブル一覧2</vt:lpstr>
      <vt:lpstr>旧テーブル一覧</vt:lpstr>
      <vt:lpstr>Template</vt:lpstr>
      <vt:lpstr>設定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maxz</dc:creator>
  <cp:lastModifiedBy>RICOH JAPAN Corporation</cp:lastModifiedBy>
  <dcterms:created xsi:type="dcterms:W3CDTF">2015-11-30T04:25:23Z</dcterms:created>
  <dcterms:modified xsi:type="dcterms:W3CDTF">2016-01-15T05:27:36Z</dcterms:modified>
</cp:coreProperties>
</file>